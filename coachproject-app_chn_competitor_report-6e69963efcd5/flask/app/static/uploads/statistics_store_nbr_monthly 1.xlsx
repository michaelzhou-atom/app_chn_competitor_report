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urtapestry.sharepoint.com/sites/APACFPA/Shared Documents/GC RF/Competitor/monthly_incremental_load/"/>
    </mc:Choice>
  </mc:AlternateContent>
  <xr:revisionPtr revIDLastSave="655" documentId="8_{9267DD85-C630-4713-9344-61693C7F8AB3}" xr6:coauthVersionLast="47" xr6:coauthVersionMax="47" xr10:uidLastSave="{DC853C81-3A87-407F-B802-861ADDDD3384}"/>
  <bookViews>
    <workbookView xWindow="-110" yWindow="-110" windowWidth="19420" windowHeight="12300" xr2:uid="{BD0E73EC-7E8D-4465-803D-BBE1C5E63FB0}"/>
  </bookViews>
  <sheets>
    <sheet name="data" sheetId="1" r:id="rId1"/>
    <sheet name="comment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xlnm._FilterDatabase" localSheetId="0" hidden="1">data!$A$1:$H$1054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54" i="1" l="1"/>
  <c r="D1054" i="1"/>
  <c r="E1053" i="1"/>
  <c r="D1053" i="1"/>
  <c r="F1053" i="1" s="1"/>
  <c r="G1053" i="1" s="1"/>
  <c r="E1052" i="1"/>
  <c r="D1052" i="1"/>
  <c r="F1052" i="1" s="1"/>
  <c r="G1052" i="1" s="1"/>
  <c r="E1051" i="1"/>
  <c r="D1051" i="1"/>
  <c r="F1051" i="1" s="1"/>
  <c r="G1051" i="1" s="1"/>
  <c r="E1050" i="1"/>
  <c r="D1050" i="1"/>
  <c r="E1049" i="1"/>
  <c r="D1049" i="1"/>
  <c r="F1049" i="1" s="1"/>
  <c r="G1049" i="1" s="1"/>
  <c r="E1048" i="1"/>
  <c r="D1048" i="1"/>
  <c r="E1047" i="1"/>
  <c r="D1047" i="1"/>
  <c r="F1047" i="1" s="1"/>
  <c r="G1047" i="1" s="1"/>
  <c r="E1046" i="1"/>
  <c r="D1046" i="1"/>
  <c r="F1046" i="1" s="1"/>
  <c r="G1046" i="1" s="1"/>
  <c r="E1045" i="1"/>
  <c r="D1045" i="1"/>
  <c r="F1045" i="1" s="1"/>
  <c r="G1045" i="1" s="1"/>
  <c r="E1044" i="1"/>
  <c r="D1044" i="1"/>
  <c r="E1043" i="1"/>
  <c r="D1043" i="1"/>
  <c r="F1043" i="1" s="1"/>
  <c r="G1043" i="1" s="1"/>
  <c r="E1042" i="1"/>
  <c r="D1042" i="1"/>
  <c r="E1041" i="1"/>
  <c r="D1041" i="1"/>
  <c r="F1041" i="1" s="1"/>
  <c r="G1041" i="1" s="1"/>
  <c r="E1040" i="1"/>
  <c r="D1040" i="1"/>
  <c r="F1040" i="1" s="1"/>
  <c r="G1040" i="1" s="1"/>
  <c r="E1039" i="1"/>
  <c r="D1039" i="1"/>
  <c r="F1039" i="1" s="1"/>
  <c r="G1039" i="1" s="1"/>
  <c r="E1038" i="1"/>
  <c r="D1038" i="1"/>
  <c r="E1037" i="1"/>
  <c r="D1037" i="1"/>
  <c r="F1037" i="1" s="1"/>
  <c r="G1037" i="1" s="1"/>
  <c r="E1036" i="1"/>
  <c r="D1036" i="1"/>
  <c r="F1035" i="1"/>
  <c r="G1035" i="1" s="1"/>
  <c r="E1034" i="1"/>
  <c r="D1034" i="1"/>
  <c r="F1034" i="1" s="1"/>
  <c r="G1034" i="1" s="1"/>
  <c r="E1033" i="1"/>
  <c r="D1033" i="1"/>
  <c r="F1033" i="1" s="1"/>
  <c r="G1033" i="1" s="1"/>
  <c r="E1032" i="1"/>
  <c r="D1032" i="1"/>
  <c r="E1031" i="1"/>
  <c r="D1031" i="1"/>
  <c r="F1031" i="1" s="1"/>
  <c r="G1031" i="1" s="1"/>
  <c r="E1030" i="1"/>
  <c r="D1030" i="1"/>
  <c r="E1029" i="1"/>
  <c r="D1029" i="1"/>
  <c r="F1029" i="1" s="1"/>
  <c r="G1029" i="1" s="1"/>
  <c r="E1028" i="1"/>
  <c r="D1028" i="1"/>
  <c r="F1028" i="1" s="1"/>
  <c r="G1028" i="1" s="1"/>
  <c r="E1027" i="1"/>
  <c r="D1027" i="1"/>
  <c r="F1027" i="1" s="1"/>
  <c r="G1027" i="1" s="1"/>
  <c r="E1026" i="1"/>
  <c r="D1026" i="1"/>
  <c r="E1025" i="1"/>
  <c r="D1025" i="1"/>
  <c r="F1025" i="1" s="1"/>
  <c r="G1025" i="1" s="1"/>
  <c r="E1024" i="1"/>
  <c r="D1024" i="1"/>
  <c r="E1023" i="1"/>
  <c r="D1023" i="1"/>
  <c r="F1023" i="1" s="1"/>
  <c r="G1023" i="1" s="1"/>
  <c r="E1022" i="1"/>
  <c r="D1022" i="1"/>
  <c r="F1022" i="1" s="1"/>
  <c r="G1022" i="1" s="1"/>
  <c r="E1021" i="1"/>
  <c r="D1021" i="1"/>
  <c r="F1021" i="1" s="1"/>
  <c r="G1021" i="1" s="1"/>
  <c r="E1020" i="1"/>
  <c r="D1020" i="1"/>
  <c r="E1019" i="1"/>
  <c r="D1019" i="1"/>
  <c r="F1019" i="1" s="1"/>
  <c r="G1019" i="1" s="1"/>
  <c r="E1018" i="1"/>
  <c r="D1018" i="1"/>
  <c r="E1017" i="1"/>
  <c r="D1017" i="1"/>
  <c r="F1017" i="1" s="1"/>
  <c r="G1017" i="1" s="1"/>
  <c r="E1016" i="1"/>
  <c r="D1016" i="1"/>
  <c r="F1016" i="1" s="1"/>
  <c r="G1016" i="1" s="1"/>
  <c r="E1015" i="1"/>
  <c r="D1015" i="1"/>
  <c r="F1015" i="1" s="1"/>
  <c r="G1015" i="1" s="1"/>
  <c r="E1014" i="1"/>
  <c r="D1014" i="1"/>
  <c r="E1013" i="1"/>
  <c r="D1013" i="1"/>
  <c r="F1013" i="1" s="1"/>
  <c r="G1013" i="1" s="1"/>
  <c r="E1012" i="1"/>
  <c r="D1012" i="1"/>
  <c r="E1011" i="1"/>
  <c r="D1011" i="1"/>
  <c r="F1011" i="1" s="1"/>
  <c r="G1011" i="1" s="1"/>
  <c r="E1009" i="1"/>
  <c r="D1009" i="1"/>
  <c r="F1009" i="1" s="1"/>
  <c r="G1009" i="1" s="1"/>
  <c r="E1008" i="1"/>
  <c r="D1008" i="1"/>
  <c r="E1007" i="1"/>
  <c r="D1007" i="1"/>
  <c r="F1007" i="1" s="1"/>
  <c r="G1007" i="1" s="1"/>
  <c r="E1006" i="1"/>
  <c r="D1006" i="1"/>
  <c r="E1005" i="1"/>
  <c r="D1005" i="1"/>
  <c r="E1004" i="1"/>
  <c r="D1004" i="1"/>
  <c r="F1004" i="1" s="1"/>
  <c r="G1004" i="1" s="1"/>
  <c r="E1003" i="1"/>
  <c r="D1003" i="1"/>
  <c r="F1003" i="1" s="1"/>
  <c r="G1003" i="1" s="1"/>
  <c r="E1002" i="1"/>
  <c r="D1002" i="1"/>
  <c r="E1001" i="1"/>
  <c r="D1001" i="1"/>
  <c r="F1001" i="1" s="1"/>
  <c r="G1001" i="1" s="1"/>
  <c r="E1000" i="1"/>
  <c r="D1000" i="1"/>
  <c r="E999" i="1"/>
  <c r="D999" i="1"/>
  <c r="E998" i="1"/>
  <c r="D998" i="1"/>
  <c r="F998" i="1" s="1"/>
  <c r="G998" i="1" s="1"/>
  <c r="E997" i="1"/>
  <c r="D997" i="1"/>
  <c r="F997" i="1" s="1"/>
  <c r="G997" i="1" s="1"/>
  <c r="E996" i="1"/>
  <c r="D996" i="1"/>
  <c r="E995" i="1"/>
  <c r="D995" i="1"/>
  <c r="F995" i="1" s="1"/>
  <c r="G995" i="1" s="1"/>
  <c r="E994" i="1"/>
  <c r="D994" i="1"/>
  <c r="E993" i="1"/>
  <c r="D993" i="1"/>
  <c r="E992" i="1"/>
  <c r="D992" i="1"/>
  <c r="F992" i="1" s="1"/>
  <c r="G992" i="1" s="1"/>
  <c r="E991" i="1"/>
  <c r="D991" i="1"/>
  <c r="F991" i="1" s="1"/>
  <c r="G991" i="1" s="1"/>
  <c r="E990" i="1"/>
  <c r="D990" i="1"/>
  <c r="E989" i="1"/>
  <c r="D989" i="1"/>
  <c r="F989" i="1" s="1"/>
  <c r="G989" i="1" s="1"/>
  <c r="E988" i="1"/>
  <c r="D988" i="1"/>
  <c r="E987" i="1"/>
  <c r="D987" i="1"/>
  <c r="E986" i="1"/>
  <c r="D986" i="1"/>
  <c r="F986" i="1" s="1"/>
  <c r="G986" i="1" s="1"/>
  <c r="E984" i="1"/>
  <c r="D984" i="1"/>
  <c r="E983" i="1"/>
  <c r="D983" i="1"/>
  <c r="F983" i="1" s="1"/>
  <c r="G983" i="1" s="1"/>
  <c r="E982" i="1"/>
  <c r="D982" i="1"/>
  <c r="E981" i="1"/>
  <c r="D981" i="1"/>
  <c r="F981" i="1" s="1"/>
  <c r="G981" i="1" s="1"/>
  <c r="E980" i="1"/>
  <c r="D980" i="1"/>
  <c r="F979" i="1"/>
  <c r="G979" i="1" s="1"/>
  <c r="F978" i="1"/>
  <c r="G978" i="1" s="1"/>
  <c r="F977" i="1"/>
  <c r="G977" i="1" s="1"/>
  <c r="F980" i="1" l="1"/>
  <c r="G980" i="1" s="1"/>
  <c r="F987" i="1"/>
  <c r="G987" i="1" s="1"/>
  <c r="F993" i="1"/>
  <c r="G993" i="1" s="1"/>
  <c r="F999" i="1"/>
  <c r="G999" i="1" s="1"/>
  <c r="F1005" i="1"/>
  <c r="G1005" i="1" s="1"/>
  <c r="F985" i="1"/>
  <c r="G985" i="1" s="1"/>
  <c r="F1010" i="1"/>
  <c r="G1010" i="1" s="1"/>
  <c r="F984" i="1"/>
  <c r="G984" i="1" s="1"/>
  <c r="F990" i="1"/>
  <c r="G990" i="1" s="1"/>
  <c r="F996" i="1"/>
  <c r="G996" i="1" s="1"/>
  <c r="F1002" i="1"/>
  <c r="G1002" i="1" s="1"/>
  <c r="F1008" i="1"/>
  <c r="G1008" i="1" s="1"/>
  <c r="F1014" i="1"/>
  <c r="G1014" i="1" s="1"/>
  <c r="F1020" i="1"/>
  <c r="G1020" i="1" s="1"/>
  <c r="F1026" i="1"/>
  <c r="G1026" i="1" s="1"/>
  <c r="F1032" i="1"/>
  <c r="G1032" i="1" s="1"/>
  <c r="F1038" i="1"/>
  <c r="G1038" i="1" s="1"/>
  <c r="F1044" i="1"/>
  <c r="G1044" i="1" s="1"/>
  <c r="F1050" i="1"/>
  <c r="G1050" i="1" s="1"/>
  <c r="F982" i="1"/>
  <c r="G982" i="1" s="1"/>
  <c r="F988" i="1"/>
  <c r="G988" i="1" s="1"/>
  <c r="F994" i="1"/>
  <c r="G994" i="1" s="1"/>
  <c r="F1000" i="1"/>
  <c r="G1000" i="1" s="1"/>
  <c r="F1006" i="1"/>
  <c r="G1006" i="1" s="1"/>
  <c r="F1012" i="1"/>
  <c r="G1012" i="1" s="1"/>
  <c r="F1018" i="1"/>
  <c r="G1018" i="1" s="1"/>
  <c r="F1024" i="1"/>
  <c r="G1024" i="1" s="1"/>
  <c r="F1030" i="1"/>
  <c r="G1030" i="1" s="1"/>
  <c r="F1036" i="1"/>
  <c r="G1036" i="1" s="1"/>
  <c r="F1042" i="1"/>
  <c r="G1042" i="1" s="1"/>
  <c r="F1048" i="1"/>
  <c r="G1048" i="1" s="1"/>
  <c r="F1054" i="1"/>
  <c r="G1054" i="1" s="1"/>
  <c r="E975" i="1" l="1"/>
  <c r="D975" i="1"/>
  <c r="E974" i="1"/>
  <c r="D974" i="1"/>
  <c r="E973" i="1"/>
  <c r="D973" i="1"/>
  <c r="E972" i="1"/>
  <c r="D972" i="1"/>
  <c r="E971" i="1"/>
  <c r="D971" i="1"/>
  <c r="E970" i="1"/>
  <c r="D970" i="1"/>
  <c r="E969" i="1"/>
  <c r="D969" i="1"/>
  <c r="E968" i="1"/>
  <c r="D968" i="1"/>
  <c r="E967" i="1"/>
  <c r="D967" i="1"/>
  <c r="E966" i="1"/>
  <c r="D966" i="1"/>
  <c r="E965" i="1"/>
  <c r="D965" i="1"/>
  <c r="E964" i="1"/>
  <c r="D964" i="1"/>
  <c r="E963" i="1"/>
  <c r="D963" i="1"/>
  <c r="E962" i="1"/>
  <c r="D962" i="1"/>
  <c r="E961" i="1"/>
  <c r="D961" i="1"/>
  <c r="E960" i="1"/>
  <c r="D960" i="1"/>
  <c r="E959" i="1"/>
  <c r="D959" i="1"/>
  <c r="E958" i="1"/>
  <c r="D958" i="1"/>
  <c r="E957" i="1"/>
  <c r="D957" i="1"/>
  <c r="E955" i="1"/>
  <c r="D955" i="1"/>
  <c r="E954" i="1"/>
  <c r="D954" i="1"/>
  <c r="E953" i="1"/>
  <c r="D953" i="1"/>
  <c r="E952" i="1"/>
  <c r="D952" i="1"/>
  <c r="E951" i="1"/>
  <c r="D951" i="1"/>
  <c r="E949" i="1"/>
  <c r="D949" i="1"/>
  <c r="E948" i="1"/>
  <c r="D948" i="1"/>
  <c r="E947" i="1"/>
  <c r="D947" i="1"/>
  <c r="E946" i="1"/>
  <c r="D946" i="1"/>
  <c r="E945" i="1"/>
  <c r="D945" i="1"/>
  <c r="E944" i="1"/>
  <c r="D944" i="1"/>
  <c r="E943" i="1"/>
  <c r="D943" i="1"/>
  <c r="E942" i="1"/>
  <c r="D942" i="1"/>
  <c r="E941" i="1"/>
  <c r="D941" i="1"/>
  <c r="E940" i="1"/>
  <c r="D940" i="1"/>
  <c r="E939" i="1"/>
  <c r="D939" i="1"/>
  <c r="E938" i="1"/>
  <c r="D938" i="1"/>
  <c r="E937" i="1"/>
  <c r="D937" i="1"/>
  <c r="E936" i="1"/>
  <c r="D936" i="1"/>
  <c r="E935" i="1"/>
  <c r="D935" i="1"/>
  <c r="E934" i="1"/>
  <c r="D934" i="1"/>
  <c r="E933" i="1"/>
  <c r="D933" i="1"/>
  <c r="E932" i="1"/>
  <c r="D932" i="1"/>
  <c r="E931" i="1"/>
  <c r="D931" i="1"/>
  <c r="E929" i="1"/>
  <c r="D929" i="1"/>
  <c r="E928" i="1"/>
  <c r="D928" i="1"/>
  <c r="E927" i="1"/>
  <c r="D927" i="1"/>
  <c r="E926" i="1"/>
  <c r="D926" i="1"/>
  <c r="E925" i="1"/>
  <c r="D925" i="1"/>
  <c r="D900" i="1" l="1"/>
  <c r="E900" i="1"/>
  <c r="D901" i="1"/>
  <c r="E901" i="1"/>
  <c r="D902" i="1"/>
  <c r="E902" i="1"/>
  <c r="D903" i="1"/>
  <c r="E903" i="1"/>
  <c r="D905" i="1"/>
  <c r="E905" i="1"/>
  <c r="D906" i="1"/>
  <c r="E906" i="1"/>
  <c r="D907" i="1"/>
  <c r="E907" i="1"/>
  <c r="D908" i="1"/>
  <c r="E908" i="1"/>
  <c r="D909" i="1"/>
  <c r="E909" i="1"/>
  <c r="D910" i="1"/>
  <c r="E910" i="1"/>
  <c r="D911" i="1"/>
  <c r="E911" i="1"/>
  <c r="D912" i="1"/>
  <c r="E912" i="1"/>
  <c r="D913" i="1"/>
  <c r="E913" i="1"/>
  <c r="D914" i="1"/>
  <c r="E914" i="1"/>
  <c r="D915" i="1"/>
  <c r="E915" i="1"/>
  <c r="D916" i="1"/>
  <c r="E916" i="1"/>
  <c r="D917" i="1"/>
  <c r="E917" i="1"/>
  <c r="D918" i="1"/>
  <c r="E918" i="1"/>
  <c r="D919" i="1"/>
  <c r="E919" i="1"/>
  <c r="D920" i="1"/>
  <c r="E920" i="1"/>
  <c r="D921" i="1"/>
  <c r="E921" i="1"/>
  <c r="D922" i="1"/>
  <c r="E922" i="1"/>
  <c r="D923" i="1"/>
  <c r="E923" i="1"/>
  <c r="E899" i="1"/>
  <c r="D899" i="1"/>
  <c r="D849" i="1" l="1"/>
  <c r="F898" i="1"/>
  <c r="G898" i="1" s="1"/>
  <c r="E897" i="1"/>
  <c r="D897" i="1"/>
  <c r="E896" i="1"/>
  <c r="D896" i="1"/>
  <c r="E895" i="1"/>
  <c r="D895" i="1"/>
  <c r="E894" i="1"/>
  <c r="D894" i="1"/>
  <c r="E893" i="1"/>
  <c r="D893" i="1"/>
  <c r="E892" i="1"/>
  <c r="D892" i="1"/>
  <c r="E891" i="1"/>
  <c r="D891" i="1"/>
  <c r="E890" i="1"/>
  <c r="D890" i="1"/>
  <c r="E889" i="1"/>
  <c r="D889" i="1"/>
  <c r="E888" i="1"/>
  <c r="D888" i="1"/>
  <c r="E887" i="1"/>
  <c r="D887" i="1"/>
  <c r="E886" i="1"/>
  <c r="D886" i="1"/>
  <c r="E885" i="1"/>
  <c r="D885" i="1"/>
  <c r="E884" i="1"/>
  <c r="D884" i="1"/>
  <c r="E883" i="1"/>
  <c r="D883" i="1"/>
  <c r="E882" i="1"/>
  <c r="D882" i="1"/>
  <c r="E881" i="1"/>
  <c r="D881" i="1"/>
  <c r="E880" i="1"/>
  <c r="D880" i="1"/>
  <c r="E879" i="1"/>
  <c r="D879" i="1"/>
  <c r="F878" i="1"/>
  <c r="G878" i="1" s="1"/>
  <c r="E877" i="1"/>
  <c r="D877" i="1"/>
  <c r="E876" i="1"/>
  <c r="D876" i="1"/>
  <c r="E875" i="1"/>
  <c r="D875" i="1"/>
  <c r="E874" i="1"/>
  <c r="D874" i="1"/>
  <c r="E873" i="1"/>
  <c r="D873" i="1"/>
  <c r="F872" i="1"/>
  <c r="G872" i="1" s="1"/>
  <c r="E871" i="1"/>
  <c r="D871" i="1"/>
  <c r="E870" i="1"/>
  <c r="D870" i="1"/>
  <c r="E869" i="1"/>
  <c r="D869" i="1"/>
  <c r="E868" i="1"/>
  <c r="D868" i="1"/>
  <c r="E867" i="1"/>
  <c r="D867" i="1"/>
  <c r="E866" i="1"/>
  <c r="D866" i="1"/>
  <c r="E865" i="1"/>
  <c r="D865" i="1"/>
  <c r="E864" i="1"/>
  <c r="D864" i="1"/>
  <c r="E863" i="1"/>
  <c r="D863" i="1"/>
  <c r="E862" i="1"/>
  <c r="D862" i="1"/>
  <c r="E861" i="1"/>
  <c r="D861" i="1"/>
  <c r="E860" i="1"/>
  <c r="D860" i="1"/>
  <c r="E859" i="1"/>
  <c r="D859" i="1"/>
  <c r="E858" i="1"/>
  <c r="D858" i="1"/>
  <c r="E857" i="1"/>
  <c r="D857" i="1"/>
  <c r="E856" i="1"/>
  <c r="D856" i="1"/>
  <c r="E855" i="1"/>
  <c r="D855" i="1"/>
  <c r="E854" i="1"/>
  <c r="D854" i="1"/>
  <c r="E853" i="1"/>
  <c r="D853" i="1"/>
  <c r="F852" i="1"/>
  <c r="G852" i="1" s="1"/>
  <c r="E851" i="1"/>
  <c r="D851" i="1"/>
  <c r="E850" i="1"/>
  <c r="D850" i="1"/>
  <c r="E849" i="1"/>
  <c r="E848" i="1"/>
  <c r="D848" i="1"/>
  <c r="E847" i="1"/>
  <c r="D847" i="1"/>
  <c r="F882" i="1" l="1"/>
  <c r="G882" i="1" s="1"/>
  <c r="F871" i="1"/>
  <c r="G871" i="1" s="1"/>
  <c r="F880" i="1"/>
  <c r="G880" i="1" s="1"/>
  <c r="F884" i="1"/>
  <c r="G884" i="1" s="1"/>
  <c r="F888" i="1"/>
  <c r="G888" i="1" s="1"/>
  <c r="F892" i="1"/>
  <c r="G892" i="1" s="1"/>
  <c r="F862" i="1"/>
  <c r="G862" i="1" s="1"/>
  <c r="F866" i="1"/>
  <c r="G866" i="1" s="1"/>
  <c r="F870" i="1"/>
  <c r="G870" i="1" s="1"/>
  <c r="F879" i="1"/>
  <c r="G879" i="1" s="1"/>
  <c r="F883" i="1"/>
  <c r="G883" i="1" s="1"/>
  <c r="F891" i="1"/>
  <c r="G891" i="1" s="1"/>
  <c r="F874" i="1"/>
  <c r="G874" i="1" s="1"/>
  <c r="F897" i="1"/>
  <c r="G897" i="1" s="1"/>
  <c r="F895" i="1"/>
  <c r="G895" i="1" s="1"/>
  <c r="F847" i="1"/>
  <c r="G847" i="1" s="1"/>
  <c r="F854" i="1"/>
  <c r="G854" i="1" s="1"/>
  <c r="F858" i="1"/>
  <c r="G858" i="1" s="1"/>
  <c r="F868" i="1"/>
  <c r="G868" i="1" s="1"/>
  <c r="F849" i="1"/>
  <c r="G849" i="1" s="1"/>
  <c r="F850" i="1"/>
  <c r="G850" i="1" s="1"/>
  <c r="F889" i="1"/>
  <c r="G889" i="1" s="1"/>
  <c r="F851" i="1"/>
  <c r="G851" i="1" s="1"/>
  <c r="F896" i="1"/>
  <c r="G896" i="1" s="1"/>
  <c r="F875" i="1"/>
  <c r="G875" i="1" s="1"/>
  <c r="F848" i="1"/>
  <c r="G848" i="1" s="1"/>
  <c r="F856" i="1"/>
  <c r="G856" i="1" s="1"/>
  <c r="F860" i="1"/>
  <c r="G860" i="1" s="1"/>
  <c r="F864" i="1"/>
  <c r="G864" i="1" s="1"/>
  <c r="F876" i="1"/>
  <c r="G876" i="1" s="1"/>
  <c r="F881" i="1"/>
  <c r="G881" i="1" s="1"/>
  <c r="F853" i="1"/>
  <c r="G853" i="1" s="1"/>
  <c r="F857" i="1"/>
  <c r="G857" i="1" s="1"/>
  <c r="F861" i="1"/>
  <c r="G861" i="1" s="1"/>
  <c r="F865" i="1"/>
  <c r="G865" i="1" s="1"/>
  <c r="F873" i="1"/>
  <c r="G873" i="1" s="1"/>
  <c r="F877" i="1"/>
  <c r="G877" i="1" s="1"/>
  <c r="F893" i="1"/>
  <c r="G893" i="1" s="1"/>
  <c r="F869" i="1"/>
  <c r="G869" i="1" s="1"/>
  <c r="F886" i="1"/>
  <c r="G886" i="1" s="1"/>
  <c r="F890" i="1"/>
  <c r="G890" i="1" s="1"/>
  <c r="F894" i="1"/>
  <c r="G894" i="1" s="1"/>
  <c r="F855" i="1"/>
  <c r="G855" i="1" s="1"/>
  <c r="F859" i="1"/>
  <c r="G859" i="1" s="1"/>
  <c r="F863" i="1"/>
  <c r="G863" i="1" s="1"/>
  <c r="F867" i="1"/>
  <c r="G867" i="1" s="1"/>
  <c r="F887" i="1"/>
  <c r="G887" i="1" s="1"/>
  <c r="F885" i="1"/>
  <c r="G885" i="1" s="1"/>
  <c r="D821" i="1"/>
  <c r="E821" i="1"/>
  <c r="D822" i="1"/>
  <c r="E822" i="1"/>
  <c r="D823" i="1"/>
  <c r="E823" i="1"/>
  <c r="D824" i="1"/>
  <c r="E824" i="1"/>
  <c r="D825" i="1"/>
  <c r="E825" i="1"/>
  <c r="D827" i="1"/>
  <c r="E827" i="1"/>
  <c r="D828" i="1"/>
  <c r="E828" i="1"/>
  <c r="D829" i="1"/>
  <c r="E829" i="1"/>
  <c r="D830" i="1"/>
  <c r="E830" i="1"/>
  <c r="D831" i="1"/>
  <c r="E831" i="1"/>
  <c r="D832" i="1"/>
  <c r="E832" i="1"/>
  <c r="D833" i="1"/>
  <c r="E833" i="1"/>
  <c r="D834" i="1"/>
  <c r="E834" i="1"/>
  <c r="D835" i="1"/>
  <c r="E835" i="1"/>
  <c r="D836" i="1"/>
  <c r="E836" i="1"/>
  <c r="D837" i="1"/>
  <c r="E837" i="1"/>
  <c r="D838" i="1"/>
  <c r="E838" i="1"/>
  <c r="D839" i="1"/>
  <c r="E839" i="1"/>
  <c r="D840" i="1"/>
  <c r="E840" i="1"/>
  <c r="D841" i="1"/>
  <c r="E841" i="1"/>
  <c r="D842" i="1"/>
  <c r="E842" i="1"/>
  <c r="D843" i="1"/>
  <c r="E843" i="1"/>
  <c r="D844" i="1"/>
  <c r="E844" i="1"/>
  <c r="D845" i="1"/>
  <c r="E845" i="1"/>
  <c r="E820" i="1"/>
  <c r="D820" i="1"/>
  <c r="F820" i="1" l="1"/>
  <c r="G820" i="1" s="1"/>
  <c r="F821" i="1"/>
  <c r="G821" i="1" s="1"/>
  <c r="F822" i="1"/>
  <c r="G822" i="1" s="1"/>
  <c r="F823" i="1"/>
  <c r="G823" i="1" s="1"/>
  <c r="F824" i="1"/>
  <c r="G824" i="1" s="1"/>
  <c r="F825" i="1"/>
  <c r="G825" i="1" s="1"/>
  <c r="F826" i="1"/>
  <c r="G826" i="1" s="1"/>
  <c r="F827" i="1"/>
  <c r="G827" i="1" s="1"/>
  <c r="F828" i="1"/>
  <c r="G828" i="1" s="1"/>
  <c r="F829" i="1"/>
  <c r="G829" i="1" s="1"/>
  <c r="F830" i="1"/>
  <c r="G830" i="1" s="1"/>
  <c r="F831" i="1"/>
  <c r="G831" i="1" s="1"/>
  <c r="F832" i="1"/>
  <c r="G832" i="1" s="1"/>
  <c r="F833" i="1"/>
  <c r="G833" i="1" s="1"/>
  <c r="F834" i="1"/>
  <c r="G834" i="1" s="1"/>
  <c r="F835" i="1"/>
  <c r="G835" i="1" s="1"/>
  <c r="F836" i="1"/>
  <c r="G836" i="1" s="1"/>
  <c r="F837" i="1"/>
  <c r="G837" i="1" s="1"/>
  <c r="F838" i="1"/>
  <c r="G838" i="1" s="1"/>
  <c r="F839" i="1"/>
  <c r="G839" i="1" s="1"/>
  <c r="F840" i="1"/>
  <c r="G840" i="1" s="1"/>
  <c r="F841" i="1"/>
  <c r="G841" i="1" s="1"/>
  <c r="F842" i="1"/>
  <c r="G842" i="1" s="1"/>
  <c r="F843" i="1"/>
  <c r="G843" i="1" s="1"/>
  <c r="F844" i="1"/>
  <c r="G844" i="1" s="1"/>
  <c r="F845" i="1"/>
  <c r="G845" i="1" s="1"/>
  <c r="F846" i="1"/>
  <c r="G846" i="1" s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8" i="1"/>
  <c r="E797" i="1"/>
  <c r="E796" i="1"/>
  <c r="E795" i="1"/>
  <c r="E794" i="1"/>
  <c r="E793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1" i="1"/>
  <c r="E770" i="1"/>
  <c r="E769" i="1"/>
  <c r="E768" i="1"/>
  <c r="E767" i="1"/>
  <c r="E766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5" i="1"/>
  <c r="D804" i="1"/>
  <c r="D803" i="1"/>
  <c r="D802" i="1"/>
  <c r="D801" i="1"/>
  <c r="D800" i="1"/>
  <c r="D798" i="1"/>
  <c r="D797" i="1"/>
  <c r="D796" i="1"/>
  <c r="D795" i="1"/>
  <c r="D794" i="1"/>
  <c r="D793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8" i="1"/>
  <c r="D777" i="1"/>
  <c r="D776" i="1"/>
  <c r="D775" i="1"/>
  <c r="D774" i="1"/>
  <c r="D773" i="1"/>
  <c r="D771" i="1"/>
  <c r="D770" i="1"/>
  <c r="D769" i="1"/>
  <c r="D768" i="1"/>
  <c r="D767" i="1"/>
  <c r="D766" i="1"/>
  <c r="E740" i="1" l="1"/>
  <c r="E741" i="1"/>
  <c r="E742" i="1"/>
  <c r="E743" i="1"/>
  <c r="E744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D740" i="1"/>
  <c r="D741" i="1"/>
  <c r="D742" i="1"/>
  <c r="D743" i="1"/>
  <c r="D744" i="1"/>
  <c r="D746" i="1"/>
  <c r="D747" i="1"/>
  <c r="D748" i="1"/>
  <c r="D749" i="1"/>
  <c r="D750" i="1"/>
  <c r="D751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E739" i="1"/>
  <c r="D739" i="1"/>
  <c r="F819" i="1" l="1"/>
  <c r="G819" i="1" s="1"/>
  <c r="F799" i="1"/>
  <c r="G799" i="1" s="1"/>
  <c r="F792" i="1"/>
  <c r="G792" i="1" s="1"/>
  <c r="F772" i="1"/>
  <c r="G772" i="1" s="1"/>
  <c r="F765" i="1"/>
  <c r="G765" i="1" s="1"/>
  <c r="F745" i="1"/>
  <c r="G745" i="1" s="1"/>
  <c r="F739" i="1"/>
  <c r="G739" i="1" s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7" i="1"/>
  <c r="E716" i="1"/>
  <c r="E715" i="1"/>
  <c r="E714" i="1"/>
  <c r="E713" i="1"/>
  <c r="E712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F691" i="1"/>
  <c r="G691" i="1" s="1"/>
  <c r="E690" i="1"/>
  <c r="E689" i="1"/>
  <c r="E688" i="1"/>
  <c r="E687" i="1"/>
  <c r="E686" i="1"/>
  <c r="E685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3" i="1"/>
  <c r="E662" i="1"/>
  <c r="E661" i="1"/>
  <c r="E660" i="1"/>
  <c r="E659" i="1"/>
  <c r="E65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7" i="1"/>
  <c r="D716" i="1"/>
  <c r="D715" i="1"/>
  <c r="D714" i="1"/>
  <c r="D713" i="1"/>
  <c r="D712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0" i="1"/>
  <c r="D689" i="1"/>
  <c r="D688" i="1"/>
  <c r="D687" i="1"/>
  <c r="D686" i="1"/>
  <c r="D685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3" i="1"/>
  <c r="D662" i="1"/>
  <c r="D661" i="1"/>
  <c r="D660" i="1"/>
  <c r="D659" i="1"/>
  <c r="D658" i="1"/>
  <c r="F738" i="1"/>
  <c r="G738" i="1" s="1"/>
  <c r="F718" i="1"/>
  <c r="G718" i="1" s="1"/>
  <c r="F711" i="1"/>
  <c r="G711" i="1" s="1"/>
  <c r="F684" i="1"/>
  <c r="G684" i="1" s="1"/>
  <c r="E578" i="1"/>
  <c r="E579" i="1"/>
  <c r="E580" i="1"/>
  <c r="E581" i="1"/>
  <c r="E582" i="1"/>
  <c r="F583" i="1"/>
  <c r="G583" i="1" s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4" i="1"/>
  <c r="E605" i="1"/>
  <c r="E606" i="1"/>
  <c r="E607" i="1"/>
  <c r="E608" i="1"/>
  <c r="E609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1" i="1"/>
  <c r="E632" i="1"/>
  <c r="E633" i="1"/>
  <c r="E634" i="1"/>
  <c r="E635" i="1"/>
  <c r="E636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577" i="1"/>
  <c r="D578" i="1"/>
  <c r="D579" i="1"/>
  <c r="D580" i="1"/>
  <c r="D581" i="1"/>
  <c r="D582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4" i="1"/>
  <c r="D605" i="1"/>
  <c r="D606" i="1"/>
  <c r="D607" i="1"/>
  <c r="D608" i="1"/>
  <c r="D609" i="1"/>
  <c r="F610" i="1"/>
  <c r="G610" i="1" s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F630" i="1"/>
  <c r="G630" i="1" s="1"/>
  <c r="D631" i="1"/>
  <c r="D632" i="1"/>
  <c r="D633" i="1"/>
  <c r="D634" i="1"/>
  <c r="D635" i="1"/>
  <c r="D636" i="1"/>
  <c r="F637" i="1"/>
  <c r="G637" i="1" s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577" i="1"/>
  <c r="F603" i="1"/>
  <c r="G603" i="1" s="1"/>
  <c r="E521" i="1"/>
  <c r="D521" i="1"/>
  <c r="E520" i="1"/>
  <c r="D520" i="1"/>
  <c r="E519" i="1"/>
  <c r="D519" i="1"/>
  <c r="E518" i="1"/>
  <c r="D518" i="1"/>
  <c r="E517" i="1"/>
  <c r="D517" i="1"/>
  <c r="E516" i="1"/>
  <c r="D516" i="1"/>
  <c r="E515" i="1"/>
  <c r="D515" i="1"/>
  <c r="E514" i="1"/>
  <c r="D514" i="1"/>
  <c r="E513" i="1"/>
  <c r="D513" i="1"/>
  <c r="E512" i="1"/>
  <c r="D512" i="1"/>
  <c r="E511" i="1"/>
  <c r="D511" i="1"/>
  <c r="E510" i="1"/>
  <c r="D510" i="1"/>
  <c r="E509" i="1"/>
  <c r="D509" i="1"/>
  <c r="E508" i="1"/>
  <c r="D508" i="1"/>
  <c r="E507" i="1"/>
  <c r="D507" i="1"/>
  <c r="E506" i="1"/>
  <c r="D506" i="1"/>
  <c r="E505" i="1"/>
  <c r="D505" i="1"/>
  <c r="E504" i="1"/>
  <c r="D504" i="1"/>
  <c r="E503" i="1"/>
  <c r="D503" i="1"/>
  <c r="E501" i="1"/>
  <c r="D501" i="1"/>
  <c r="E500" i="1"/>
  <c r="D500" i="1"/>
  <c r="E499" i="1"/>
  <c r="D499" i="1"/>
  <c r="E498" i="1"/>
  <c r="D498" i="1"/>
  <c r="E497" i="1"/>
  <c r="D497" i="1"/>
  <c r="E496" i="1"/>
  <c r="D496" i="1"/>
  <c r="F802" i="1" l="1"/>
  <c r="G802" i="1" s="1"/>
  <c r="F806" i="1"/>
  <c r="G806" i="1" s="1"/>
  <c r="F810" i="1"/>
  <c r="G810" i="1" s="1"/>
  <c r="F818" i="1"/>
  <c r="G818" i="1" s="1"/>
  <c r="F785" i="1"/>
  <c r="G785" i="1" s="1"/>
  <c r="F814" i="1"/>
  <c r="G814" i="1" s="1"/>
  <c r="F793" i="1"/>
  <c r="G793" i="1" s="1"/>
  <c r="F774" i="1"/>
  <c r="G774" i="1" s="1"/>
  <c r="F778" i="1"/>
  <c r="G778" i="1" s="1"/>
  <c r="F776" i="1"/>
  <c r="G776" i="1" s="1"/>
  <c r="F780" i="1"/>
  <c r="G780" i="1" s="1"/>
  <c r="F784" i="1"/>
  <c r="G784" i="1" s="1"/>
  <c r="F800" i="1"/>
  <c r="G800" i="1" s="1"/>
  <c r="F804" i="1"/>
  <c r="G804" i="1" s="1"/>
  <c r="F748" i="1"/>
  <c r="G748" i="1" s="1"/>
  <c r="F756" i="1"/>
  <c r="G756" i="1" s="1"/>
  <c r="F760" i="1"/>
  <c r="G760" i="1" s="1"/>
  <c r="F764" i="1"/>
  <c r="G764" i="1" s="1"/>
  <c r="F777" i="1"/>
  <c r="G777" i="1" s="1"/>
  <c r="F781" i="1"/>
  <c r="G781" i="1" s="1"/>
  <c r="F801" i="1"/>
  <c r="G801" i="1" s="1"/>
  <c r="F805" i="1"/>
  <c r="G805" i="1" s="1"/>
  <c r="F809" i="1"/>
  <c r="G809" i="1" s="1"/>
  <c r="F813" i="1"/>
  <c r="G813" i="1" s="1"/>
  <c r="F676" i="1"/>
  <c r="G676" i="1" s="1"/>
  <c r="F685" i="1"/>
  <c r="G685" i="1" s="1"/>
  <c r="F775" i="1"/>
  <c r="G775" i="1" s="1"/>
  <c r="F779" i="1"/>
  <c r="G779" i="1" s="1"/>
  <c r="F783" i="1"/>
  <c r="G783" i="1" s="1"/>
  <c r="F803" i="1"/>
  <c r="G803" i="1" s="1"/>
  <c r="F807" i="1"/>
  <c r="G807" i="1" s="1"/>
  <c r="F811" i="1"/>
  <c r="G811" i="1" s="1"/>
  <c r="F815" i="1"/>
  <c r="G815" i="1" s="1"/>
  <c r="F808" i="1"/>
  <c r="G808" i="1" s="1"/>
  <c r="F817" i="1"/>
  <c r="G817" i="1" s="1"/>
  <c r="F787" i="1"/>
  <c r="G787" i="1" s="1"/>
  <c r="F795" i="1"/>
  <c r="G795" i="1" s="1"/>
  <c r="F812" i="1"/>
  <c r="G812" i="1" s="1"/>
  <c r="F752" i="1"/>
  <c r="G752" i="1" s="1"/>
  <c r="F741" i="1"/>
  <c r="G741" i="1" s="1"/>
  <c r="F766" i="1"/>
  <c r="G766" i="1" s="1"/>
  <c r="F770" i="1"/>
  <c r="G770" i="1" s="1"/>
  <c r="F768" i="1"/>
  <c r="G768" i="1" s="1"/>
  <c r="F788" i="1"/>
  <c r="G788" i="1" s="1"/>
  <c r="F796" i="1"/>
  <c r="G796" i="1" s="1"/>
  <c r="F740" i="1"/>
  <c r="G740" i="1" s="1"/>
  <c r="F744" i="1"/>
  <c r="G744" i="1" s="1"/>
  <c r="F769" i="1"/>
  <c r="G769" i="1" s="1"/>
  <c r="F786" i="1"/>
  <c r="G786" i="1" s="1"/>
  <c r="F771" i="1"/>
  <c r="G771" i="1" s="1"/>
  <c r="F791" i="1"/>
  <c r="G791" i="1" s="1"/>
  <c r="F816" i="1"/>
  <c r="G816" i="1" s="1"/>
  <c r="F743" i="1"/>
  <c r="G743" i="1" s="1"/>
  <c r="F720" i="1"/>
  <c r="G720" i="1" s="1"/>
  <c r="F728" i="1"/>
  <c r="G728" i="1" s="1"/>
  <c r="F736" i="1"/>
  <c r="G736" i="1" s="1"/>
  <c r="F773" i="1"/>
  <c r="G773" i="1" s="1"/>
  <c r="F660" i="1"/>
  <c r="G660" i="1" s="1"/>
  <c r="F677" i="1"/>
  <c r="G677" i="1" s="1"/>
  <c r="F686" i="1"/>
  <c r="G686" i="1" s="1"/>
  <c r="F789" i="1"/>
  <c r="G789" i="1" s="1"/>
  <c r="F797" i="1"/>
  <c r="G797" i="1" s="1"/>
  <c r="F747" i="1"/>
  <c r="G747" i="1" s="1"/>
  <c r="F751" i="1"/>
  <c r="G751" i="1" s="1"/>
  <c r="F755" i="1"/>
  <c r="G755" i="1" s="1"/>
  <c r="F759" i="1"/>
  <c r="G759" i="1" s="1"/>
  <c r="F763" i="1"/>
  <c r="G763" i="1" s="1"/>
  <c r="F767" i="1"/>
  <c r="G767" i="1" s="1"/>
  <c r="F782" i="1"/>
  <c r="G782" i="1" s="1"/>
  <c r="F798" i="1"/>
  <c r="G798" i="1" s="1"/>
  <c r="F749" i="1"/>
  <c r="G749" i="1" s="1"/>
  <c r="F753" i="1"/>
  <c r="G753" i="1" s="1"/>
  <c r="F757" i="1"/>
  <c r="G757" i="1" s="1"/>
  <c r="F761" i="1"/>
  <c r="G761" i="1" s="1"/>
  <c r="F790" i="1"/>
  <c r="G790" i="1" s="1"/>
  <c r="F700" i="1"/>
  <c r="G700" i="1" s="1"/>
  <c r="F726" i="1"/>
  <c r="G726" i="1" s="1"/>
  <c r="F734" i="1"/>
  <c r="G734" i="1" s="1"/>
  <c r="F742" i="1"/>
  <c r="G742" i="1" s="1"/>
  <c r="F746" i="1"/>
  <c r="G746" i="1" s="1"/>
  <c r="F750" i="1"/>
  <c r="G750" i="1" s="1"/>
  <c r="F754" i="1"/>
  <c r="G754" i="1" s="1"/>
  <c r="F758" i="1"/>
  <c r="G758" i="1" s="1"/>
  <c r="F762" i="1"/>
  <c r="G762" i="1" s="1"/>
  <c r="F794" i="1"/>
  <c r="G794" i="1" s="1"/>
  <c r="F719" i="1"/>
  <c r="G719" i="1" s="1"/>
  <c r="F727" i="1"/>
  <c r="G727" i="1" s="1"/>
  <c r="F735" i="1"/>
  <c r="G735" i="1" s="1"/>
  <c r="F712" i="1"/>
  <c r="G712" i="1" s="1"/>
  <c r="F729" i="1"/>
  <c r="G729" i="1" s="1"/>
  <c r="F661" i="1"/>
  <c r="G661" i="1" s="1"/>
  <c r="F670" i="1"/>
  <c r="G670" i="1" s="1"/>
  <c r="F678" i="1"/>
  <c r="G678" i="1" s="1"/>
  <c r="F687" i="1"/>
  <c r="G687" i="1" s="1"/>
  <c r="F723" i="1"/>
  <c r="G723" i="1" s="1"/>
  <c r="F690" i="1"/>
  <c r="G690" i="1" s="1"/>
  <c r="F715" i="1"/>
  <c r="G715" i="1" s="1"/>
  <c r="F732" i="1"/>
  <c r="G732" i="1" s="1"/>
  <c r="F725" i="1"/>
  <c r="G725" i="1" s="1"/>
  <c r="F605" i="1"/>
  <c r="G605" i="1" s="1"/>
  <c r="F596" i="1"/>
  <c r="G596" i="1" s="1"/>
  <c r="F588" i="1"/>
  <c r="G588" i="1" s="1"/>
  <c r="F705" i="1"/>
  <c r="G705" i="1" s="1"/>
  <c r="F648" i="1"/>
  <c r="G648" i="1" s="1"/>
  <c r="F580" i="1"/>
  <c r="G580" i="1" s="1"/>
  <c r="F696" i="1"/>
  <c r="G696" i="1" s="1"/>
  <c r="F713" i="1"/>
  <c r="G713" i="1" s="1"/>
  <c r="F662" i="1"/>
  <c r="G662" i="1" s="1"/>
  <c r="F731" i="1"/>
  <c r="G731" i="1" s="1"/>
  <c r="F689" i="1"/>
  <c r="G689" i="1" s="1"/>
  <c r="F682" i="1"/>
  <c r="G682" i="1" s="1"/>
  <c r="F707" i="1"/>
  <c r="G707" i="1" s="1"/>
  <c r="F675" i="1"/>
  <c r="G675" i="1" s="1"/>
  <c r="F683" i="1"/>
  <c r="G683" i="1" s="1"/>
  <c r="F692" i="1"/>
  <c r="G692" i="1" s="1"/>
  <c r="F708" i="1"/>
  <c r="G708" i="1" s="1"/>
  <c r="F717" i="1"/>
  <c r="G717" i="1" s="1"/>
  <c r="F733" i="1"/>
  <c r="G733" i="1" s="1"/>
  <c r="F613" i="1"/>
  <c r="G613" i="1" s="1"/>
  <c r="F579" i="1"/>
  <c r="G579" i="1" s="1"/>
  <c r="F604" i="1"/>
  <c r="G604" i="1" s="1"/>
  <c r="F595" i="1"/>
  <c r="G595" i="1" s="1"/>
  <c r="F587" i="1"/>
  <c r="G587" i="1" s="1"/>
  <c r="F663" i="1"/>
  <c r="G663" i="1" s="1"/>
  <c r="F679" i="1"/>
  <c r="G679" i="1" s="1"/>
  <c r="F688" i="1"/>
  <c r="G688" i="1" s="1"/>
  <c r="F704" i="1"/>
  <c r="G704" i="1" s="1"/>
  <c r="F721" i="1"/>
  <c r="G721" i="1" s="1"/>
  <c r="F737" i="1"/>
  <c r="G737" i="1" s="1"/>
  <c r="F664" i="1"/>
  <c r="G664" i="1" s="1"/>
  <c r="F680" i="1"/>
  <c r="G680" i="1" s="1"/>
  <c r="F666" i="1"/>
  <c r="G666" i="1" s="1"/>
  <c r="F674" i="1"/>
  <c r="G674" i="1" s="1"/>
  <c r="F659" i="1"/>
  <c r="G659" i="1" s="1"/>
  <c r="F722" i="1"/>
  <c r="G722" i="1" s="1"/>
  <c r="F724" i="1"/>
  <c r="G724" i="1" s="1"/>
  <c r="F672" i="1"/>
  <c r="G672" i="1" s="1"/>
  <c r="F703" i="1"/>
  <c r="G703" i="1" s="1"/>
  <c r="F709" i="1"/>
  <c r="G709" i="1" s="1"/>
  <c r="F730" i="1"/>
  <c r="G730" i="1" s="1"/>
  <c r="F668" i="1"/>
  <c r="G668" i="1" s="1"/>
  <c r="F694" i="1"/>
  <c r="G694" i="1" s="1"/>
  <c r="F698" i="1"/>
  <c r="G698" i="1" s="1"/>
  <c r="F702" i="1"/>
  <c r="G702" i="1" s="1"/>
  <c r="F706" i="1"/>
  <c r="G706" i="1" s="1"/>
  <c r="F710" i="1"/>
  <c r="G710" i="1" s="1"/>
  <c r="F716" i="1"/>
  <c r="G716" i="1" s="1"/>
  <c r="F665" i="1"/>
  <c r="G665" i="1" s="1"/>
  <c r="F669" i="1"/>
  <c r="G669" i="1" s="1"/>
  <c r="F673" i="1"/>
  <c r="G673" i="1" s="1"/>
  <c r="F695" i="1"/>
  <c r="G695" i="1" s="1"/>
  <c r="F699" i="1"/>
  <c r="G699" i="1" s="1"/>
  <c r="F714" i="1"/>
  <c r="G714" i="1" s="1"/>
  <c r="F658" i="1"/>
  <c r="G658" i="1" s="1"/>
  <c r="F667" i="1"/>
  <c r="G667" i="1" s="1"/>
  <c r="F671" i="1"/>
  <c r="G671" i="1" s="1"/>
  <c r="F681" i="1"/>
  <c r="G681" i="1" s="1"/>
  <c r="F693" i="1"/>
  <c r="G693" i="1" s="1"/>
  <c r="F697" i="1"/>
  <c r="G697" i="1" s="1"/>
  <c r="F701" i="1"/>
  <c r="G701" i="1" s="1"/>
  <c r="F581" i="1"/>
  <c r="G581" i="1" s="1"/>
  <c r="F606" i="1"/>
  <c r="G606" i="1" s="1"/>
  <c r="F597" i="1"/>
  <c r="G597" i="1" s="1"/>
  <c r="F589" i="1"/>
  <c r="G589" i="1" s="1"/>
  <c r="F632" i="1"/>
  <c r="G632" i="1" s="1"/>
  <c r="F635" i="1"/>
  <c r="G635" i="1" s="1"/>
  <c r="F600" i="1"/>
  <c r="G600" i="1" s="1"/>
  <c r="F592" i="1"/>
  <c r="G592" i="1" s="1"/>
  <c r="F584" i="1"/>
  <c r="G584" i="1" s="1"/>
  <c r="F612" i="1"/>
  <c r="G612" i="1" s="1"/>
  <c r="F602" i="1"/>
  <c r="G602" i="1" s="1"/>
  <c r="F646" i="1"/>
  <c r="G646" i="1" s="1"/>
  <c r="F638" i="1"/>
  <c r="G638" i="1" s="1"/>
  <c r="F628" i="1"/>
  <c r="G628" i="1" s="1"/>
  <c r="F620" i="1"/>
  <c r="G620" i="1" s="1"/>
  <c r="F578" i="1"/>
  <c r="G578" i="1" s="1"/>
  <c r="F616" i="1"/>
  <c r="G616" i="1" s="1"/>
  <c r="F641" i="1"/>
  <c r="G641" i="1" s="1"/>
  <c r="F608" i="1"/>
  <c r="G608" i="1" s="1"/>
  <c r="F650" i="1"/>
  <c r="G650" i="1" s="1"/>
  <c r="F642" i="1"/>
  <c r="G642" i="1" s="1"/>
  <c r="F656" i="1"/>
  <c r="G656" i="1" s="1"/>
  <c r="F640" i="1"/>
  <c r="G640" i="1" s="1"/>
  <c r="F644" i="1"/>
  <c r="G644" i="1" s="1"/>
  <c r="F652" i="1"/>
  <c r="G652" i="1" s="1"/>
  <c r="F618" i="1"/>
  <c r="G618" i="1" s="1"/>
  <c r="F626" i="1"/>
  <c r="G626" i="1" s="1"/>
  <c r="F624" i="1"/>
  <c r="G624" i="1" s="1"/>
  <c r="F582" i="1"/>
  <c r="G582" i="1" s="1"/>
  <c r="F598" i="1"/>
  <c r="G598" i="1" s="1"/>
  <c r="F590" i="1"/>
  <c r="G590" i="1" s="1"/>
  <c r="F627" i="1"/>
  <c r="G627" i="1" s="1"/>
  <c r="F611" i="1"/>
  <c r="G611" i="1" s="1"/>
  <c r="F601" i="1"/>
  <c r="G601" i="1" s="1"/>
  <c r="F585" i="1"/>
  <c r="G585" i="1" s="1"/>
  <c r="F651" i="1"/>
  <c r="G651" i="1" s="1"/>
  <c r="F643" i="1"/>
  <c r="G643" i="1" s="1"/>
  <c r="F634" i="1"/>
  <c r="G634" i="1" s="1"/>
  <c r="F617" i="1"/>
  <c r="G617" i="1" s="1"/>
  <c r="F622" i="1"/>
  <c r="G622" i="1" s="1"/>
  <c r="F653" i="1"/>
  <c r="G653" i="1" s="1"/>
  <c r="F645" i="1"/>
  <c r="G645" i="1" s="1"/>
  <c r="F629" i="1"/>
  <c r="G629" i="1" s="1"/>
  <c r="F621" i="1"/>
  <c r="G621" i="1" s="1"/>
  <c r="F591" i="1"/>
  <c r="G591" i="1" s="1"/>
  <c r="F636" i="1"/>
  <c r="G636" i="1" s="1"/>
  <c r="F619" i="1"/>
  <c r="G619" i="1" s="1"/>
  <c r="F654" i="1"/>
  <c r="G654" i="1" s="1"/>
  <c r="F614" i="1"/>
  <c r="G614" i="1" s="1"/>
  <c r="F647" i="1"/>
  <c r="G647" i="1" s="1"/>
  <c r="F631" i="1"/>
  <c r="G631" i="1" s="1"/>
  <c r="F615" i="1"/>
  <c r="G615" i="1" s="1"/>
  <c r="F633" i="1"/>
  <c r="G633" i="1" s="1"/>
  <c r="F625" i="1"/>
  <c r="G625" i="1" s="1"/>
  <c r="F609" i="1"/>
  <c r="G609" i="1" s="1"/>
  <c r="F593" i="1"/>
  <c r="G593" i="1" s="1"/>
  <c r="F655" i="1"/>
  <c r="G655" i="1" s="1"/>
  <c r="F639" i="1"/>
  <c r="G639" i="1" s="1"/>
  <c r="F623" i="1"/>
  <c r="G623" i="1" s="1"/>
  <c r="F607" i="1"/>
  <c r="G607" i="1" s="1"/>
  <c r="F599" i="1"/>
  <c r="G599" i="1" s="1"/>
  <c r="F594" i="1"/>
  <c r="G594" i="1" s="1"/>
  <c r="F586" i="1"/>
  <c r="G586" i="1" s="1"/>
  <c r="F657" i="1"/>
  <c r="G657" i="1" s="1"/>
  <c r="F577" i="1"/>
  <c r="G577" i="1" s="1"/>
  <c r="F649" i="1"/>
  <c r="G649" i="1" s="1"/>
  <c r="D524" i="1"/>
  <c r="D525" i="1"/>
  <c r="D526" i="1"/>
  <c r="D527" i="1"/>
  <c r="D528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50" i="1"/>
  <c r="D551" i="1"/>
  <c r="D552" i="1"/>
  <c r="D553" i="1"/>
  <c r="D554" i="1"/>
  <c r="D555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E524" i="1"/>
  <c r="E525" i="1"/>
  <c r="E526" i="1"/>
  <c r="E527" i="1"/>
  <c r="E528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50" i="1"/>
  <c r="E551" i="1"/>
  <c r="E552" i="1"/>
  <c r="E553" i="1"/>
  <c r="E554" i="1"/>
  <c r="E555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F576" i="1"/>
  <c r="G576" i="1" s="1"/>
  <c r="E523" i="1"/>
  <c r="D523" i="1"/>
  <c r="F556" i="1"/>
  <c r="G556" i="1" s="1"/>
  <c r="F522" i="1"/>
  <c r="G522" i="1" s="1"/>
  <c r="F502" i="1"/>
  <c r="G502" i="1" s="1"/>
  <c r="F568" i="1" l="1"/>
  <c r="G568" i="1" s="1"/>
  <c r="F560" i="1"/>
  <c r="G560" i="1" s="1"/>
  <c r="F534" i="1"/>
  <c r="G534" i="1" s="1"/>
  <c r="F539" i="1"/>
  <c r="G539" i="1" s="1"/>
  <c r="F531" i="1"/>
  <c r="G531" i="1" s="1"/>
  <c r="F567" i="1"/>
  <c r="G567" i="1" s="1"/>
  <c r="F550" i="1"/>
  <c r="G550" i="1" s="1"/>
  <c r="F551" i="1"/>
  <c r="G551" i="1" s="1"/>
  <c r="F542" i="1"/>
  <c r="G542" i="1" s="1"/>
  <c r="F552" i="1"/>
  <c r="G552" i="1" s="1"/>
  <c r="F543" i="1"/>
  <c r="G543" i="1" s="1"/>
  <c r="F535" i="1"/>
  <c r="G535" i="1" s="1"/>
  <c r="F526" i="1"/>
  <c r="G526" i="1" s="1"/>
  <c r="F528" i="1"/>
  <c r="G528" i="1" s="1"/>
  <c r="F504" i="1"/>
  <c r="G504" i="1" s="1"/>
  <c r="F508" i="1"/>
  <c r="G508" i="1" s="1"/>
  <c r="F512" i="1"/>
  <c r="G512" i="1" s="1"/>
  <c r="F516" i="1"/>
  <c r="G516" i="1" s="1"/>
  <c r="F520" i="1"/>
  <c r="G520" i="1" s="1"/>
  <c r="F570" i="1"/>
  <c r="G570" i="1" s="1"/>
  <c r="F562" i="1"/>
  <c r="G562" i="1" s="1"/>
  <c r="F544" i="1"/>
  <c r="G544" i="1" s="1"/>
  <c r="F536" i="1"/>
  <c r="G536" i="1" s="1"/>
  <c r="F527" i="1"/>
  <c r="G527" i="1" s="1"/>
  <c r="F498" i="1"/>
  <c r="G498" i="1" s="1"/>
  <c r="F555" i="1"/>
  <c r="G555" i="1" s="1"/>
  <c r="F546" i="1"/>
  <c r="G546" i="1" s="1"/>
  <c r="F538" i="1"/>
  <c r="G538" i="1" s="1"/>
  <c r="F530" i="1"/>
  <c r="G530" i="1" s="1"/>
  <c r="F501" i="1"/>
  <c r="G501" i="1" s="1"/>
  <c r="F571" i="1"/>
  <c r="G571" i="1" s="1"/>
  <c r="F554" i="1"/>
  <c r="G554" i="1" s="1"/>
  <c r="F574" i="1"/>
  <c r="G574" i="1" s="1"/>
  <c r="F566" i="1"/>
  <c r="G566" i="1" s="1"/>
  <c r="F558" i="1"/>
  <c r="G558" i="1" s="1"/>
  <c r="F548" i="1"/>
  <c r="G548" i="1" s="1"/>
  <c r="F540" i="1"/>
  <c r="G540" i="1" s="1"/>
  <c r="F532" i="1"/>
  <c r="G532" i="1" s="1"/>
  <c r="F497" i="1"/>
  <c r="G497" i="1" s="1"/>
  <c r="F499" i="1"/>
  <c r="G499" i="1" s="1"/>
  <c r="F500" i="1"/>
  <c r="G500" i="1" s="1"/>
  <c r="F503" i="1"/>
  <c r="G503" i="1" s="1"/>
  <c r="F507" i="1"/>
  <c r="G507" i="1" s="1"/>
  <c r="F511" i="1"/>
  <c r="G511" i="1" s="1"/>
  <c r="F515" i="1"/>
  <c r="G515" i="1" s="1"/>
  <c r="F519" i="1"/>
  <c r="G519" i="1" s="1"/>
  <c r="F496" i="1"/>
  <c r="G496" i="1" s="1"/>
  <c r="F505" i="1"/>
  <c r="G505" i="1" s="1"/>
  <c r="F509" i="1"/>
  <c r="G509" i="1" s="1"/>
  <c r="F513" i="1"/>
  <c r="G513" i="1" s="1"/>
  <c r="F517" i="1"/>
  <c r="G517" i="1" s="1"/>
  <c r="F521" i="1"/>
  <c r="G521" i="1" s="1"/>
  <c r="F506" i="1"/>
  <c r="G506" i="1" s="1"/>
  <c r="F510" i="1"/>
  <c r="G510" i="1" s="1"/>
  <c r="F514" i="1"/>
  <c r="G514" i="1" s="1"/>
  <c r="F518" i="1"/>
  <c r="G518" i="1" s="1"/>
  <c r="F547" i="1"/>
  <c r="G547" i="1" s="1"/>
  <c r="F564" i="1"/>
  <c r="G564" i="1" s="1"/>
  <c r="F563" i="1"/>
  <c r="G563" i="1" s="1"/>
  <c r="F525" i="1"/>
  <c r="G525" i="1" s="1"/>
  <c r="F575" i="1"/>
  <c r="G575" i="1" s="1"/>
  <c r="F559" i="1"/>
  <c r="G559" i="1" s="1"/>
  <c r="F524" i="1"/>
  <c r="G524" i="1" s="1"/>
  <c r="F573" i="1"/>
  <c r="G573" i="1" s="1"/>
  <c r="F565" i="1"/>
  <c r="G565" i="1" s="1"/>
  <c r="F557" i="1"/>
  <c r="G557" i="1" s="1"/>
  <c r="F549" i="1"/>
  <c r="G549" i="1" s="1"/>
  <c r="F541" i="1"/>
  <c r="G541" i="1" s="1"/>
  <c r="F533" i="1"/>
  <c r="G533" i="1" s="1"/>
  <c r="F572" i="1"/>
  <c r="G572" i="1" s="1"/>
  <c r="F569" i="1"/>
  <c r="G569" i="1" s="1"/>
  <c r="F561" i="1"/>
  <c r="G561" i="1" s="1"/>
  <c r="F553" i="1"/>
  <c r="G553" i="1" s="1"/>
  <c r="F545" i="1"/>
  <c r="G545" i="1" s="1"/>
  <c r="F537" i="1"/>
  <c r="G537" i="1" s="1"/>
  <c r="F529" i="1"/>
  <c r="G529" i="1" s="1"/>
  <c r="F523" i="1"/>
  <c r="G523" i="1" s="1"/>
  <c r="E470" i="1"/>
  <c r="E471" i="1"/>
  <c r="E472" i="1"/>
  <c r="E473" i="1"/>
  <c r="E474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69" i="1"/>
  <c r="E443" i="1"/>
  <c r="E444" i="1"/>
  <c r="E445" i="1"/>
  <c r="E446" i="1"/>
  <c r="E447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42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16" i="1"/>
  <c r="E417" i="1"/>
  <c r="E418" i="1"/>
  <c r="E419" i="1"/>
  <c r="E420" i="1"/>
  <c r="E415" i="1"/>
  <c r="D469" i="1"/>
  <c r="D470" i="1"/>
  <c r="D471" i="1"/>
  <c r="D472" i="1"/>
  <c r="D473" i="1"/>
  <c r="D474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F468" i="1"/>
  <c r="G468" i="1" s="1"/>
  <c r="F495" i="1"/>
  <c r="G495" i="1" s="1"/>
  <c r="F486" i="1" l="1"/>
  <c r="G486" i="1" s="1"/>
  <c r="F494" i="1"/>
  <c r="G494" i="1" s="1"/>
  <c r="F478" i="1"/>
  <c r="G478" i="1" s="1"/>
  <c r="F472" i="1"/>
  <c r="G472" i="1" s="1"/>
  <c r="F488" i="1"/>
  <c r="G488" i="1" s="1"/>
  <c r="F480" i="1"/>
  <c r="G480" i="1" s="1"/>
  <c r="F481" i="1"/>
  <c r="G481" i="1" s="1"/>
  <c r="F470" i="1"/>
  <c r="G470" i="1" s="1"/>
  <c r="F473" i="1"/>
  <c r="G473" i="1" s="1"/>
  <c r="F477" i="1"/>
  <c r="G477" i="1" s="1"/>
  <c r="F476" i="1"/>
  <c r="G476" i="1" s="1"/>
  <c r="F471" i="1"/>
  <c r="G471" i="1" s="1"/>
  <c r="F487" i="1"/>
  <c r="G487" i="1" s="1"/>
  <c r="F489" i="1"/>
  <c r="G489" i="1" s="1"/>
  <c r="F492" i="1"/>
  <c r="G492" i="1" s="1"/>
  <c r="F484" i="1"/>
  <c r="G484" i="1" s="1"/>
  <c r="F479" i="1"/>
  <c r="G479" i="1" s="1"/>
  <c r="F493" i="1"/>
  <c r="G493" i="1" s="1"/>
  <c r="F485" i="1"/>
  <c r="G485" i="1" s="1"/>
  <c r="F469" i="1"/>
  <c r="G469" i="1" s="1"/>
  <c r="F474" i="1"/>
  <c r="G474" i="1" s="1"/>
  <c r="F490" i="1"/>
  <c r="G490" i="1" s="1"/>
  <c r="F482" i="1"/>
  <c r="G482" i="1" s="1"/>
  <c r="F491" i="1"/>
  <c r="G491" i="1" s="1"/>
  <c r="F483" i="1"/>
  <c r="G483" i="1" s="1"/>
  <c r="F475" i="1"/>
  <c r="G475" i="1" s="1"/>
  <c r="F421" i="1" l="1"/>
  <c r="G421" i="1" s="1"/>
  <c r="F441" i="1"/>
  <c r="G441" i="1" s="1"/>
  <c r="F448" i="1"/>
  <c r="G448" i="1" s="1"/>
  <c r="D416" i="1"/>
  <c r="F416" i="1" s="1"/>
  <c r="G416" i="1" s="1"/>
  <c r="D417" i="1"/>
  <c r="F417" i="1" s="1"/>
  <c r="G417" i="1" s="1"/>
  <c r="D418" i="1"/>
  <c r="F418" i="1" s="1"/>
  <c r="G418" i="1" s="1"/>
  <c r="D419" i="1"/>
  <c r="F419" i="1" s="1"/>
  <c r="G419" i="1" s="1"/>
  <c r="D420" i="1"/>
  <c r="F420" i="1" s="1"/>
  <c r="G420" i="1" s="1"/>
  <c r="D422" i="1"/>
  <c r="F422" i="1" s="1"/>
  <c r="G422" i="1" s="1"/>
  <c r="D423" i="1"/>
  <c r="F423" i="1" s="1"/>
  <c r="G423" i="1" s="1"/>
  <c r="D424" i="1"/>
  <c r="F424" i="1" s="1"/>
  <c r="G424" i="1" s="1"/>
  <c r="D425" i="1"/>
  <c r="F425" i="1" s="1"/>
  <c r="G425" i="1" s="1"/>
  <c r="D426" i="1"/>
  <c r="F426" i="1" s="1"/>
  <c r="G426" i="1" s="1"/>
  <c r="D427" i="1"/>
  <c r="F427" i="1" s="1"/>
  <c r="G427" i="1" s="1"/>
  <c r="D428" i="1"/>
  <c r="F428" i="1" s="1"/>
  <c r="G428" i="1" s="1"/>
  <c r="D429" i="1"/>
  <c r="F429" i="1" s="1"/>
  <c r="G429" i="1" s="1"/>
  <c r="D430" i="1"/>
  <c r="F430" i="1" s="1"/>
  <c r="G430" i="1" s="1"/>
  <c r="D431" i="1"/>
  <c r="F431" i="1" s="1"/>
  <c r="G431" i="1" s="1"/>
  <c r="D432" i="1"/>
  <c r="F432" i="1" s="1"/>
  <c r="G432" i="1" s="1"/>
  <c r="D433" i="1"/>
  <c r="F433" i="1" s="1"/>
  <c r="G433" i="1" s="1"/>
  <c r="D434" i="1"/>
  <c r="F434" i="1" s="1"/>
  <c r="G434" i="1" s="1"/>
  <c r="D435" i="1"/>
  <c r="F435" i="1" s="1"/>
  <c r="G435" i="1" s="1"/>
  <c r="D436" i="1"/>
  <c r="F436" i="1" s="1"/>
  <c r="G436" i="1" s="1"/>
  <c r="D437" i="1"/>
  <c r="F437" i="1" s="1"/>
  <c r="G437" i="1" s="1"/>
  <c r="D438" i="1"/>
  <c r="F438" i="1" s="1"/>
  <c r="G438" i="1" s="1"/>
  <c r="D439" i="1"/>
  <c r="F439" i="1" s="1"/>
  <c r="G439" i="1" s="1"/>
  <c r="D440" i="1"/>
  <c r="F440" i="1" s="1"/>
  <c r="G440" i="1" s="1"/>
  <c r="D442" i="1"/>
  <c r="F442" i="1" s="1"/>
  <c r="G442" i="1" s="1"/>
  <c r="D443" i="1"/>
  <c r="F443" i="1" s="1"/>
  <c r="G443" i="1" s="1"/>
  <c r="D444" i="1"/>
  <c r="F444" i="1" s="1"/>
  <c r="G444" i="1" s="1"/>
  <c r="D445" i="1"/>
  <c r="F445" i="1" s="1"/>
  <c r="G445" i="1" s="1"/>
  <c r="D446" i="1"/>
  <c r="F446" i="1" s="1"/>
  <c r="G446" i="1" s="1"/>
  <c r="D447" i="1"/>
  <c r="F447" i="1" s="1"/>
  <c r="G447" i="1" s="1"/>
  <c r="D449" i="1"/>
  <c r="F449" i="1" s="1"/>
  <c r="G449" i="1" s="1"/>
  <c r="D450" i="1"/>
  <c r="F450" i="1" s="1"/>
  <c r="G450" i="1" s="1"/>
  <c r="D451" i="1"/>
  <c r="F451" i="1" s="1"/>
  <c r="G451" i="1" s="1"/>
  <c r="D452" i="1"/>
  <c r="F452" i="1" s="1"/>
  <c r="G452" i="1" s="1"/>
  <c r="D453" i="1"/>
  <c r="F453" i="1" s="1"/>
  <c r="G453" i="1" s="1"/>
  <c r="D454" i="1"/>
  <c r="F454" i="1" s="1"/>
  <c r="G454" i="1" s="1"/>
  <c r="D455" i="1"/>
  <c r="F455" i="1" s="1"/>
  <c r="G455" i="1" s="1"/>
  <c r="D456" i="1"/>
  <c r="F456" i="1" s="1"/>
  <c r="G456" i="1" s="1"/>
  <c r="D457" i="1"/>
  <c r="F457" i="1" s="1"/>
  <c r="G457" i="1" s="1"/>
  <c r="D458" i="1"/>
  <c r="F458" i="1" s="1"/>
  <c r="G458" i="1" s="1"/>
  <c r="D459" i="1"/>
  <c r="F459" i="1" s="1"/>
  <c r="G459" i="1" s="1"/>
  <c r="D460" i="1"/>
  <c r="F460" i="1" s="1"/>
  <c r="G460" i="1" s="1"/>
  <c r="D461" i="1"/>
  <c r="F461" i="1" s="1"/>
  <c r="G461" i="1" s="1"/>
  <c r="D462" i="1"/>
  <c r="F462" i="1" s="1"/>
  <c r="G462" i="1" s="1"/>
  <c r="D463" i="1"/>
  <c r="F463" i="1" s="1"/>
  <c r="G463" i="1" s="1"/>
  <c r="D464" i="1"/>
  <c r="F464" i="1" s="1"/>
  <c r="G464" i="1" s="1"/>
  <c r="D465" i="1"/>
  <c r="F465" i="1" s="1"/>
  <c r="G465" i="1" s="1"/>
  <c r="D466" i="1"/>
  <c r="F466" i="1" s="1"/>
  <c r="G466" i="1" s="1"/>
  <c r="D467" i="1"/>
  <c r="F467" i="1" s="1"/>
  <c r="G467" i="1" s="1"/>
  <c r="D415" i="1"/>
  <c r="F415" i="1" s="1"/>
  <c r="G415" i="1" s="1"/>
  <c r="E359" i="1"/>
  <c r="D359" i="1"/>
  <c r="E358" i="1"/>
  <c r="D358" i="1"/>
  <c r="E357" i="1"/>
  <c r="D357" i="1"/>
  <c r="E356" i="1"/>
  <c r="D356" i="1"/>
  <c r="E355" i="1"/>
  <c r="D355" i="1"/>
  <c r="E354" i="1"/>
  <c r="D354" i="1"/>
  <c r="E353" i="1"/>
  <c r="D353" i="1"/>
  <c r="E352" i="1"/>
  <c r="D352" i="1"/>
  <c r="E351" i="1"/>
  <c r="D351" i="1"/>
  <c r="E350" i="1"/>
  <c r="D350" i="1"/>
  <c r="E349" i="1"/>
  <c r="D349" i="1"/>
  <c r="E348" i="1"/>
  <c r="D348" i="1"/>
  <c r="E347" i="1"/>
  <c r="D347" i="1"/>
  <c r="E346" i="1"/>
  <c r="D346" i="1"/>
  <c r="E345" i="1"/>
  <c r="D345" i="1"/>
  <c r="E344" i="1"/>
  <c r="D344" i="1"/>
  <c r="E343" i="1"/>
  <c r="D343" i="1"/>
  <c r="E342" i="1"/>
  <c r="D342" i="1"/>
  <c r="E341" i="1"/>
  <c r="D341" i="1"/>
  <c r="E339" i="1"/>
  <c r="D339" i="1"/>
  <c r="E338" i="1"/>
  <c r="D338" i="1"/>
  <c r="E337" i="1"/>
  <c r="D337" i="1"/>
  <c r="E336" i="1"/>
  <c r="D336" i="1"/>
  <c r="E335" i="1"/>
  <c r="D335" i="1"/>
  <c r="E334" i="1"/>
  <c r="D334" i="1"/>
  <c r="F414" i="1"/>
  <c r="G414" i="1" s="1"/>
  <c r="F413" i="1"/>
  <c r="G413" i="1" s="1"/>
  <c r="F412" i="1"/>
  <c r="G412" i="1" s="1"/>
  <c r="G360" i="1" l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F340" i="1" l="1"/>
  <c r="G340" i="1" s="1"/>
  <c r="F335" i="1"/>
  <c r="G335" i="1" s="1"/>
  <c r="F336" i="1"/>
  <c r="G336" i="1" s="1"/>
  <c r="F337" i="1"/>
  <c r="G337" i="1" s="1"/>
  <c r="F339" i="1"/>
  <c r="G339" i="1" s="1"/>
  <c r="F344" i="1"/>
  <c r="G344" i="1" s="1"/>
  <c r="F348" i="1"/>
  <c r="G348" i="1" s="1"/>
  <c r="F352" i="1"/>
  <c r="G352" i="1" s="1"/>
  <c r="F356" i="1"/>
  <c r="G356" i="1" s="1"/>
  <c r="F334" i="1"/>
  <c r="G334" i="1" s="1"/>
  <c r="F345" i="1" l="1"/>
  <c r="G345" i="1" s="1"/>
  <c r="F346" i="1"/>
  <c r="G346" i="1" s="1"/>
  <c r="F353" i="1"/>
  <c r="G353" i="1" s="1"/>
  <c r="F354" i="1"/>
  <c r="G354" i="1" s="1"/>
  <c r="F355" i="1"/>
  <c r="G355" i="1" s="1"/>
  <c r="F347" i="1"/>
  <c r="G347" i="1" s="1"/>
  <c r="F338" i="1"/>
  <c r="G338" i="1" s="1"/>
  <c r="F357" i="1"/>
  <c r="G357" i="1" s="1"/>
  <c r="F349" i="1"/>
  <c r="G349" i="1" s="1"/>
  <c r="F341" i="1"/>
  <c r="G341" i="1" s="1"/>
  <c r="F358" i="1"/>
  <c r="G358" i="1" s="1"/>
  <c r="F350" i="1"/>
  <c r="G350" i="1" s="1"/>
  <c r="F342" i="1"/>
  <c r="G342" i="1" s="1"/>
  <c r="F359" i="1"/>
  <c r="G359" i="1" s="1"/>
  <c r="F351" i="1"/>
  <c r="G351" i="1" s="1"/>
  <c r="F343" i="1"/>
  <c r="G343" i="1" s="1"/>
  <c r="F307" i="1" l="1"/>
  <c r="G307" i="1" s="1"/>
  <c r="F308" i="1"/>
  <c r="G308" i="1" s="1"/>
  <c r="F309" i="1"/>
  <c r="G309" i="1" s="1"/>
  <c r="F310" i="1"/>
  <c r="G310" i="1" s="1"/>
  <c r="F311" i="1"/>
  <c r="G311" i="1" s="1"/>
  <c r="F312" i="1"/>
  <c r="G312" i="1" s="1"/>
  <c r="F313" i="1"/>
  <c r="G313" i="1" s="1"/>
  <c r="F314" i="1"/>
  <c r="G314" i="1" s="1"/>
  <c r="F315" i="1"/>
  <c r="G315" i="1" s="1"/>
  <c r="F316" i="1"/>
  <c r="G316" i="1" s="1"/>
  <c r="F317" i="1"/>
  <c r="G317" i="1" s="1"/>
  <c r="F318" i="1"/>
  <c r="G318" i="1" s="1"/>
  <c r="F319" i="1"/>
  <c r="G319" i="1" s="1"/>
  <c r="F320" i="1"/>
  <c r="G320" i="1" s="1"/>
  <c r="F321" i="1"/>
  <c r="G321" i="1" s="1"/>
  <c r="F322" i="1"/>
  <c r="G322" i="1" s="1"/>
  <c r="F323" i="1"/>
  <c r="G323" i="1" s="1"/>
  <c r="F324" i="1"/>
  <c r="G324" i="1" s="1"/>
  <c r="F325" i="1"/>
  <c r="G325" i="1" s="1"/>
  <c r="F326" i="1"/>
  <c r="G326" i="1" s="1"/>
  <c r="F327" i="1"/>
  <c r="G327" i="1" s="1"/>
  <c r="F328" i="1"/>
  <c r="G328" i="1" s="1"/>
  <c r="F329" i="1"/>
  <c r="G329" i="1" s="1"/>
  <c r="F330" i="1"/>
  <c r="G330" i="1" s="1"/>
  <c r="F331" i="1"/>
  <c r="G331" i="1" s="1"/>
  <c r="F332" i="1"/>
  <c r="G332" i="1" s="1"/>
  <c r="F333" i="1"/>
  <c r="G333" i="1" s="1"/>
  <c r="F280" i="1"/>
  <c r="G280" i="1" s="1"/>
  <c r="F281" i="1"/>
  <c r="G281" i="1" s="1"/>
  <c r="F282" i="1"/>
  <c r="G282" i="1" s="1"/>
  <c r="F283" i="1"/>
  <c r="G283" i="1" s="1"/>
  <c r="F284" i="1"/>
  <c r="G284" i="1" s="1"/>
  <c r="F285" i="1"/>
  <c r="G285" i="1" s="1"/>
  <c r="F286" i="1"/>
  <c r="G286" i="1" s="1"/>
  <c r="F287" i="1"/>
  <c r="G287" i="1" s="1"/>
  <c r="F288" i="1"/>
  <c r="G288" i="1" s="1"/>
  <c r="F289" i="1"/>
  <c r="G289" i="1" s="1"/>
  <c r="F290" i="1"/>
  <c r="G290" i="1" s="1"/>
  <c r="F291" i="1"/>
  <c r="G291" i="1" s="1"/>
  <c r="F292" i="1"/>
  <c r="G292" i="1" s="1"/>
  <c r="F293" i="1"/>
  <c r="G293" i="1" s="1"/>
  <c r="F294" i="1"/>
  <c r="G294" i="1" s="1"/>
  <c r="F295" i="1"/>
  <c r="G295" i="1" s="1"/>
  <c r="F296" i="1"/>
  <c r="G296" i="1" s="1"/>
  <c r="F297" i="1"/>
  <c r="G297" i="1" s="1"/>
  <c r="F298" i="1"/>
  <c r="G298" i="1" s="1"/>
  <c r="F299" i="1"/>
  <c r="G299" i="1" s="1"/>
  <c r="F300" i="1"/>
  <c r="G300" i="1" s="1"/>
  <c r="F301" i="1"/>
  <c r="G301" i="1" s="1"/>
  <c r="F302" i="1"/>
  <c r="G302" i="1" s="1"/>
  <c r="F303" i="1"/>
  <c r="G303" i="1" s="1"/>
  <c r="F304" i="1"/>
  <c r="G304" i="1" s="1"/>
  <c r="F305" i="1"/>
  <c r="G305" i="1" s="1"/>
  <c r="F306" i="1"/>
  <c r="G306" i="1" s="1"/>
  <c r="F253" i="1" l="1"/>
  <c r="G253" i="1" s="1"/>
  <c r="F254" i="1"/>
  <c r="G254" i="1" s="1"/>
  <c r="F255" i="1"/>
  <c r="G255" i="1" s="1"/>
  <c r="F256" i="1"/>
  <c r="G256" i="1" s="1"/>
  <c r="F257" i="1"/>
  <c r="G257" i="1" s="1"/>
  <c r="F258" i="1"/>
  <c r="G258" i="1" s="1"/>
  <c r="F259" i="1"/>
  <c r="G259" i="1" s="1"/>
  <c r="F260" i="1"/>
  <c r="G260" i="1" s="1"/>
  <c r="F261" i="1"/>
  <c r="G261" i="1" s="1"/>
  <c r="F262" i="1"/>
  <c r="G262" i="1" s="1"/>
  <c r="F263" i="1"/>
  <c r="G263" i="1" s="1"/>
  <c r="F264" i="1"/>
  <c r="G264" i="1" s="1"/>
  <c r="F265" i="1"/>
  <c r="G265" i="1" s="1"/>
  <c r="F266" i="1"/>
  <c r="G266" i="1" s="1"/>
  <c r="F267" i="1"/>
  <c r="G267" i="1" s="1"/>
  <c r="F268" i="1"/>
  <c r="G268" i="1" s="1"/>
  <c r="F269" i="1"/>
  <c r="G269" i="1" s="1"/>
  <c r="F270" i="1"/>
  <c r="G270" i="1" s="1"/>
  <c r="F271" i="1"/>
  <c r="G271" i="1" s="1"/>
  <c r="F272" i="1"/>
  <c r="G272" i="1" s="1"/>
  <c r="F273" i="1"/>
  <c r="G273" i="1" s="1"/>
  <c r="F274" i="1"/>
  <c r="G274" i="1" s="1"/>
  <c r="F275" i="1"/>
  <c r="G275" i="1" s="1"/>
  <c r="F276" i="1"/>
  <c r="G276" i="1" s="1"/>
  <c r="F277" i="1"/>
  <c r="G277" i="1" s="1"/>
  <c r="F278" i="1"/>
  <c r="G278" i="1" s="1"/>
  <c r="F279" i="1"/>
  <c r="G279" i="1" s="1"/>
  <c r="F196" i="1"/>
  <c r="G196" i="1" s="1"/>
  <c r="F224" i="1"/>
  <c r="G224" i="1" s="1"/>
  <c r="F252" i="1"/>
  <c r="G252" i="1" s="1"/>
  <c r="F223" i="1"/>
  <c r="G223" i="1" s="1"/>
  <c r="F251" i="1"/>
  <c r="G251" i="1" s="1"/>
  <c r="F195" i="1"/>
  <c r="G195" i="1" s="1"/>
  <c r="F225" i="1"/>
  <c r="G225" i="1" s="1"/>
  <c r="F226" i="1"/>
  <c r="G226" i="1" s="1"/>
  <c r="F227" i="1"/>
  <c r="G227" i="1" s="1"/>
  <c r="F228" i="1"/>
  <c r="G228" i="1" s="1"/>
  <c r="F229" i="1"/>
  <c r="G229" i="1" s="1"/>
  <c r="F230" i="1"/>
  <c r="G230" i="1" s="1"/>
  <c r="F231" i="1"/>
  <c r="G231" i="1" s="1"/>
  <c r="F232" i="1"/>
  <c r="G232" i="1" s="1"/>
  <c r="F233" i="1"/>
  <c r="G233" i="1" s="1"/>
  <c r="F234" i="1"/>
  <c r="G234" i="1" s="1"/>
  <c r="F235" i="1"/>
  <c r="G235" i="1" s="1"/>
  <c r="F236" i="1"/>
  <c r="G236" i="1" s="1"/>
  <c r="F237" i="1"/>
  <c r="G237" i="1" s="1"/>
  <c r="F238" i="1"/>
  <c r="G238" i="1" s="1"/>
  <c r="F239" i="1"/>
  <c r="G239" i="1" s="1"/>
  <c r="F240" i="1"/>
  <c r="G240" i="1" s="1"/>
  <c r="F241" i="1"/>
  <c r="G241" i="1" s="1"/>
  <c r="F242" i="1"/>
  <c r="G242" i="1" s="1"/>
  <c r="F243" i="1"/>
  <c r="G243" i="1" s="1"/>
  <c r="F244" i="1"/>
  <c r="G244" i="1" s="1"/>
  <c r="F245" i="1"/>
  <c r="G245" i="1" s="1"/>
  <c r="F246" i="1"/>
  <c r="G246" i="1" s="1"/>
  <c r="F247" i="1"/>
  <c r="G247" i="1" s="1"/>
  <c r="F248" i="1"/>
  <c r="G248" i="1" s="1"/>
  <c r="F249" i="1"/>
  <c r="G249" i="1" s="1"/>
  <c r="F250" i="1"/>
  <c r="G250" i="1" s="1"/>
  <c r="F197" i="1"/>
  <c r="G197" i="1" s="1"/>
  <c r="F198" i="1"/>
  <c r="G198" i="1" s="1"/>
  <c r="F199" i="1"/>
  <c r="G199" i="1" s="1"/>
  <c r="F200" i="1"/>
  <c r="G200" i="1" s="1"/>
  <c r="F201" i="1"/>
  <c r="G201" i="1" s="1"/>
  <c r="F202" i="1"/>
  <c r="G202" i="1" s="1"/>
  <c r="F203" i="1"/>
  <c r="G203" i="1" s="1"/>
  <c r="F204" i="1"/>
  <c r="G204" i="1" s="1"/>
  <c r="F205" i="1"/>
  <c r="G205" i="1" s="1"/>
  <c r="F206" i="1"/>
  <c r="G206" i="1" s="1"/>
  <c r="F207" i="1"/>
  <c r="G207" i="1" s="1"/>
  <c r="F208" i="1"/>
  <c r="G208" i="1" s="1"/>
  <c r="F209" i="1"/>
  <c r="G209" i="1" s="1"/>
  <c r="F210" i="1"/>
  <c r="G210" i="1" s="1"/>
  <c r="F211" i="1"/>
  <c r="G211" i="1" s="1"/>
  <c r="F212" i="1"/>
  <c r="G212" i="1" s="1"/>
  <c r="F213" i="1"/>
  <c r="G213" i="1" s="1"/>
  <c r="F214" i="1"/>
  <c r="G214" i="1" s="1"/>
  <c r="F215" i="1"/>
  <c r="G215" i="1" s="1"/>
  <c r="F216" i="1"/>
  <c r="G216" i="1" s="1"/>
  <c r="F217" i="1"/>
  <c r="G217" i="1" s="1"/>
  <c r="F218" i="1"/>
  <c r="G218" i="1" s="1"/>
  <c r="F219" i="1"/>
  <c r="G219" i="1" s="1"/>
  <c r="F220" i="1"/>
  <c r="G220" i="1" s="1"/>
  <c r="F221" i="1"/>
  <c r="G221" i="1" s="1"/>
  <c r="F222" i="1"/>
  <c r="G222" i="1" s="1"/>
  <c r="F182" i="1"/>
  <c r="G182" i="1" s="1"/>
  <c r="F183" i="1"/>
  <c r="G183" i="1" s="1"/>
  <c r="F184" i="1"/>
  <c r="G184" i="1" s="1"/>
  <c r="F185" i="1"/>
  <c r="G185" i="1" s="1"/>
  <c r="F186" i="1"/>
  <c r="G186" i="1" s="1"/>
  <c r="F187" i="1"/>
  <c r="G187" i="1" s="1"/>
  <c r="F188" i="1"/>
  <c r="G188" i="1" s="1"/>
  <c r="F189" i="1"/>
  <c r="G189" i="1" s="1"/>
  <c r="F190" i="1"/>
  <c r="G190" i="1" s="1"/>
  <c r="F191" i="1"/>
  <c r="G191" i="1" s="1"/>
  <c r="F192" i="1"/>
  <c r="G192" i="1" s="1"/>
  <c r="F193" i="1"/>
  <c r="G193" i="1" s="1"/>
  <c r="F194" i="1"/>
  <c r="G194" i="1" s="1"/>
  <c r="F181" i="1"/>
  <c r="G181" i="1" s="1"/>
  <c r="F180" i="1"/>
  <c r="G180" i="1" s="1"/>
  <c r="F179" i="1"/>
  <c r="G179" i="1" s="1"/>
  <c r="F178" i="1"/>
  <c r="G178" i="1" s="1"/>
  <c r="F177" i="1"/>
  <c r="G177" i="1" s="1"/>
  <c r="F176" i="1" l="1"/>
  <c r="G176" i="1" s="1"/>
  <c r="F175" i="1"/>
  <c r="G175" i="1" s="1"/>
  <c r="F174" i="1"/>
  <c r="G174" i="1" s="1"/>
  <c r="F173" i="1"/>
  <c r="G173" i="1" s="1"/>
  <c r="F172" i="1"/>
  <c r="G172" i="1" s="1"/>
  <c r="F171" i="1"/>
  <c r="G171" i="1" s="1"/>
  <c r="F170" i="1"/>
  <c r="G170" i="1" s="1"/>
  <c r="F169" i="1"/>
  <c r="G169" i="1" s="1"/>
  <c r="F168" i="1" l="1"/>
  <c r="G168" i="1" s="1"/>
  <c r="F167" i="1"/>
  <c r="G167" i="1" s="1"/>
  <c r="F166" i="1"/>
  <c r="G166" i="1" s="1"/>
  <c r="F165" i="1"/>
  <c r="G165" i="1" s="1"/>
  <c r="F164" i="1"/>
  <c r="G164" i="1" s="1"/>
  <c r="F163" i="1"/>
  <c r="G163" i="1" s="1"/>
  <c r="F162" i="1"/>
  <c r="G162" i="1" s="1"/>
  <c r="F161" i="1"/>
  <c r="G161" i="1" s="1"/>
  <c r="F160" i="1"/>
  <c r="G160" i="1" s="1"/>
  <c r="F159" i="1"/>
  <c r="G159" i="1" s="1"/>
  <c r="F158" i="1"/>
  <c r="G158" i="1" s="1"/>
  <c r="F157" i="1"/>
  <c r="G157" i="1" s="1"/>
  <c r="F156" i="1"/>
  <c r="G156" i="1" s="1"/>
  <c r="F155" i="1"/>
  <c r="G155" i="1" s="1"/>
  <c r="F154" i="1"/>
  <c r="G154" i="1" s="1"/>
  <c r="F153" i="1"/>
  <c r="G153" i="1" s="1"/>
  <c r="F152" i="1"/>
  <c r="G152" i="1" s="1"/>
  <c r="F151" i="1"/>
  <c r="G151" i="1" s="1"/>
  <c r="F150" i="1"/>
  <c r="G150" i="1" s="1"/>
  <c r="F149" i="1"/>
  <c r="G149" i="1" s="1"/>
  <c r="F148" i="1"/>
  <c r="G148" i="1" s="1"/>
  <c r="F147" i="1"/>
  <c r="G147" i="1" s="1"/>
  <c r="F146" i="1"/>
  <c r="G146" i="1" s="1"/>
  <c r="F145" i="1"/>
  <c r="G145" i="1" s="1"/>
  <c r="F144" i="1"/>
  <c r="G144" i="1" s="1"/>
  <c r="F143" i="1"/>
  <c r="G143" i="1" s="1"/>
  <c r="F142" i="1"/>
  <c r="G142" i="1" s="1"/>
  <c r="F141" i="1"/>
  <c r="G141" i="1" s="1"/>
  <c r="F140" i="1"/>
  <c r="G140" i="1" s="1"/>
  <c r="F139" i="1"/>
  <c r="G139" i="1" s="1"/>
  <c r="F138" i="1"/>
  <c r="G138" i="1" s="1"/>
  <c r="F137" i="1"/>
  <c r="G137" i="1" s="1"/>
  <c r="F136" i="1"/>
  <c r="G136" i="1" s="1"/>
  <c r="F135" i="1"/>
  <c r="G135" i="1" s="1"/>
  <c r="F134" i="1"/>
  <c r="G134" i="1" s="1"/>
  <c r="F133" i="1"/>
  <c r="G133" i="1" s="1"/>
  <c r="F132" i="1"/>
  <c r="G132" i="1" s="1"/>
  <c r="F131" i="1"/>
  <c r="G131" i="1" s="1"/>
  <c r="F130" i="1"/>
  <c r="G130" i="1" s="1"/>
  <c r="F129" i="1"/>
  <c r="G129" i="1" s="1"/>
  <c r="F128" i="1"/>
  <c r="G128" i="1" s="1"/>
  <c r="F127" i="1"/>
  <c r="G127" i="1" s="1"/>
  <c r="F126" i="1"/>
  <c r="G126" i="1" s="1"/>
  <c r="F125" i="1"/>
  <c r="G125" i="1" s="1"/>
  <c r="F124" i="1"/>
  <c r="G124" i="1" s="1"/>
  <c r="F123" i="1"/>
  <c r="G123" i="1" s="1"/>
  <c r="F122" i="1"/>
  <c r="G122" i="1" s="1"/>
  <c r="F121" i="1"/>
  <c r="G121" i="1" s="1"/>
  <c r="F120" i="1"/>
  <c r="G120" i="1" s="1"/>
  <c r="F119" i="1"/>
  <c r="G119" i="1" s="1"/>
  <c r="F118" i="1"/>
  <c r="G118" i="1" s="1"/>
  <c r="F117" i="1"/>
  <c r="G117" i="1" s="1"/>
  <c r="F116" i="1"/>
  <c r="G116" i="1" s="1"/>
  <c r="F115" i="1"/>
  <c r="G115" i="1" s="1"/>
  <c r="F114" i="1"/>
  <c r="G114" i="1" s="1"/>
  <c r="F113" i="1"/>
  <c r="G113" i="1" s="1"/>
  <c r="F91" i="1"/>
  <c r="G91" i="1" s="1"/>
  <c r="F111" i="1"/>
  <c r="G111" i="1" s="1"/>
  <c r="F112" i="1"/>
  <c r="G112" i="1" s="1"/>
  <c r="F3" i="1"/>
  <c r="G3" i="1" s="1"/>
  <c r="F86" i="1"/>
  <c r="G86" i="1" s="1"/>
  <c r="F88" i="1"/>
  <c r="G88" i="1" s="1"/>
  <c r="F89" i="1"/>
  <c r="G89" i="1" s="1"/>
  <c r="F90" i="1"/>
  <c r="G90" i="1" s="1"/>
  <c r="F92" i="1"/>
  <c r="G92" i="1" s="1"/>
  <c r="F93" i="1"/>
  <c r="G93" i="1" s="1"/>
  <c r="F95" i="1"/>
  <c r="G95" i="1" s="1"/>
  <c r="F97" i="1"/>
  <c r="G97" i="1" s="1"/>
  <c r="F98" i="1"/>
  <c r="G98" i="1" s="1"/>
  <c r="F99" i="1"/>
  <c r="G99" i="1" s="1"/>
  <c r="F100" i="1"/>
  <c r="G100" i="1" s="1"/>
  <c r="F101" i="1"/>
  <c r="G101" i="1" s="1"/>
  <c r="F103" i="1"/>
  <c r="G103" i="1" s="1"/>
  <c r="F105" i="1"/>
  <c r="G105" i="1" s="1"/>
  <c r="F106" i="1"/>
  <c r="G106" i="1" s="1"/>
  <c r="F107" i="1"/>
  <c r="G107" i="1" s="1"/>
  <c r="F108" i="1"/>
  <c r="G108" i="1" s="1"/>
  <c r="F109" i="1"/>
  <c r="G109" i="1" s="1"/>
  <c r="F85" i="1"/>
  <c r="G85" i="1" s="1"/>
  <c r="F110" i="1" l="1"/>
  <c r="G110" i="1" s="1"/>
  <c r="F102" i="1"/>
  <c r="G102" i="1" s="1"/>
  <c r="F94" i="1"/>
  <c r="G94" i="1" s="1"/>
  <c r="F104" i="1"/>
  <c r="G104" i="1" s="1"/>
  <c r="F96" i="1"/>
  <c r="G96" i="1" s="1"/>
  <c r="F87" i="1"/>
  <c r="G87" i="1" s="1"/>
  <c r="F28" i="1"/>
  <c r="G28" i="1" s="1"/>
  <c r="F27" i="1"/>
  <c r="G27" i="1" s="1"/>
  <c r="F18" i="1"/>
  <c r="G18" i="1" s="1"/>
  <c r="F23" i="1"/>
  <c r="G23" i="1" s="1"/>
  <c r="F2" i="1"/>
  <c r="G2" i="1" s="1"/>
  <c r="F14" i="1"/>
  <c r="G14" i="1" s="1"/>
  <c r="F7" i="1"/>
  <c r="G7" i="1" s="1"/>
  <c r="F19" i="1"/>
  <c r="G19" i="1" s="1"/>
  <c r="F20" i="1"/>
  <c r="G20" i="1" s="1"/>
  <c r="F25" i="1"/>
  <c r="G25" i="1" s="1"/>
  <c r="F15" i="1"/>
  <c r="G15" i="1" s="1"/>
  <c r="F12" i="1"/>
  <c r="G12" i="1" s="1"/>
  <c r="F9" i="1"/>
  <c r="G9" i="1" s="1"/>
  <c r="F6" i="1"/>
  <c r="G6" i="1" s="1"/>
  <c r="F5" i="1"/>
  <c r="G5" i="1" s="1"/>
  <c r="F21" i="1"/>
  <c r="G21" i="1" s="1"/>
  <c r="F13" i="1"/>
  <c r="G13" i="1" s="1"/>
  <c r="F4" i="1"/>
  <c r="G4" i="1" s="1"/>
  <c r="F10" i="1"/>
  <c r="G10" i="1" s="1"/>
  <c r="F22" i="1"/>
  <c r="G22" i="1" s="1"/>
  <c r="F26" i="1"/>
  <c r="G26" i="1" s="1"/>
  <c r="F24" i="1"/>
  <c r="G24" i="1" s="1"/>
  <c r="F16" i="1"/>
  <c r="G16" i="1" s="1"/>
  <c r="F11" i="1"/>
  <c r="G11" i="1" s="1"/>
  <c r="F17" i="1"/>
  <c r="G17" i="1" s="1"/>
  <c r="F8" i="1"/>
  <c r="G8" i="1" s="1"/>
</calcChain>
</file>

<file path=xl/sharedStrings.xml><?xml version="1.0" encoding="utf-8"?>
<sst xmlns="http://schemas.openxmlformats.org/spreadsheetml/2006/main" count="2158" uniqueCount="50">
  <si>
    <t>year</t>
  </si>
  <si>
    <t>month</t>
  </si>
  <si>
    <t>brand_name</t>
  </si>
  <si>
    <t>total_store_count_ty</t>
  </si>
  <si>
    <t>total_store_count_ly</t>
  </si>
  <si>
    <t>net_opening</t>
  </si>
  <si>
    <t>total_store_count_growth</t>
  </si>
  <si>
    <t>store_category</t>
  </si>
  <si>
    <t>AcneStudio</t>
  </si>
  <si>
    <t>Retail</t>
  </si>
  <si>
    <t>Balenciaga</t>
  </si>
  <si>
    <t>Bottega Veneta</t>
  </si>
  <si>
    <t>Burberry</t>
  </si>
  <si>
    <t>Chanel</t>
  </si>
  <si>
    <t>CharlesKeith</t>
  </si>
  <si>
    <t>Coach</t>
  </si>
  <si>
    <t>Dior</t>
  </si>
  <si>
    <t>Fendi</t>
  </si>
  <si>
    <t>Furla</t>
  </si>
  <si>
    <t>Gucci</t>
  </si>
  <si>
    <t>Hermes</t>
  </si>
  <si>
    <t>Hugo Boss</t>
  </si>
  <si>
    <t>Kate Spade</t>
  </si>
  <si>
    <t>Longchamp</t>
  </si>
  <si>
    <t>LV</t>
  </si>
  <si>
    <t>Maje</t>
  </si>
  <si>
    <t>MCM</t>
  </si>
  <si>
    <t>Michael Kors</t>
  </si>
  <si>
    <t>Prada</t>
  </si>
  <si>
    <t>Saint Laurent</t>
  </si>
  <si>
    <t>Sandro</t>
  </si>
  <si>
    <t>Stuart Weitzman</t>
  </si>
  <si>
    <t>Tory Burch</t>
  </si>
  <si>
    <t>Valentino</t>
  </si>
  <si>
    <t>Outlet</t>
  </si>
  <si>
    <t>Loewe</t>
  </si>
  <si>
    <t/>
  </si>
  <si>
    <t>other_brand</t>
  </si>
  <si>
    <t>other_brand的outlet部分通过store_level排除零值计算，retail是用户提供的brand_level数据</t>
  </si>
  <si>
    <t>house_brand</t>
  </si>
  <si>
    <t>Retail/Outlet</t>
  </si>
  <si>
    <t>Coach,ks,sw都是用户提供的brand_leve数据，并且每个季度第三个月更新一份文件，每个季度第三个月和下个季度前两个月都是相同的数据</t>
  </si>
  <si>
    <t>填写规范</t>
  </si>
  <si>
    <t>每个月需要提供Other brand Retail的数据</t>
  </si>
  <si>
    <t>每个月需要提供Coach，ks Retail和Outlet的数据</t>
  </si>
  <si>
    <t>每个月需要提供sw 和coach (pure)的retail数据</t>
  </si>
  <si>
    <t>brand name书写规范如下</t>
  </si>
  <si>
    <t>Coach (pure)</t>
  </si>
  <si>
    <t>store_category数值为Retail和Outlet，注意首字母大写</t>
  </si>
  <si>
    <t>2，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</si>
</sst>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achinc.sharepoint.com/sites/APACFPA/Shared%20Documents/GC%20RF/Competitor/FY23/2306/Store%20Count/FY23_Q4%20To%20Finance.xlsx" TargetMode="External"/><Relationship Id="rId1" Type="http://schemas.openxmlformats.org/officeDocument/2006/relationships/externalLinkPath" Target="/sites/APACFPA/Shared%20Documents/GC%20RF/Competitor/FY23/2306/Store%20Count/FY23_Q4%20To%20Finance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achinc.sharepoint.com/sites/APACFPA/Shared%20Documents/GC%20RF/Competitor/FY24/2409/Store%20Count/FY24_Q1%20To%20Finance.xlsx" TargetMode="External"/><Relationship Id="rId1" Type="http://schemas.openxmlformats.org/officeDocument/2006/relationships/externalLinkPath" Target="/sites/APACFPA/Shared%20Documents/GC%20RF/Competitor/FY24/2409/Store%20Count/FY24_Q1%20To%20Finance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achinc.sharepoint.com/sites/APACFPA/Shared%20Documents/GC%20RF/Competitor/FY24/2412/Store%20Count/Copy%20of%20FY24_Q2%20To%20Finance.xlsx" TargetMode="External"/><Relationship Id="rId1" Type="http://schemas.openxmlformats.org/officeDocument/2006/relationships/externalLinkPath" Target="/sites/APACFPA/Shared%20Documents/GC%20RF/Competitor/FY24/2412/Store%20Count/Copy%20of%20FY24_Q2%20To%20Finance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achinc.sharepoint.com/sites/APACFPA/Shared%20Documents/GC%20RF/Competitor/FY24/2403/Store%20Count/FY24_Q3%20To%20Finance.xlsx" TargetMode="External"/><Relationship Id="rId1" Type="http://schemas.openxmlformats.org/officeDocument/2006/relationships/externalLinkPath" Target="/sites/APACFPA/Shared%20Documents/GC%20RF/Competitor/FY24/2403/Store%20Count/FY24_Q3%20To%20Finance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achinc.sharepoint.com/sites/APACFPA/Shared%20Documents/GC%20RF/Competitor/FY24/2406/Store%20Count/FY24_Q4%20To%20Finance.xlsx" TargetMode="External"/><Relationship Id="rId1" Type="http://schemas.openxmlformats.org/officeDocument/2006/relationships/externalLinkPath" Target="/sites/APACFPA/Shared%20Documents/GC%20RF/Competitor/FY24/2406/Store%20Count/FY24_Q4%20To%20Finance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achinc-my.sharepoint.com/personal/ccheng03_coach_com/Documents/Documents/FY25_Q1_To%20Finance.xlsx" TargetMode="External"/><Relationship Id="rId1" Type="http://schemas.openxmlformats.org/officeDocument/2006/relationships/externalLinkPath" Target="https://coachinc-my.sharepoint.com/personal/ccheng03_coach_com/Documents/Documents/FY25_Q1_To%20Financ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achinc.sharepoint.com/sites/APACFPA/Shared%20Documents/GC%20RF/Competitor/FY25/2412/Store%20Count/FY25_Q2_To%20Finance.xlsx" TargetMode="External"/><Relationship Id="rId1" Type="http://schemas.openxmlformats.org/officeDocument/2006/relationships/externalLinkPath" Target="/sites/APACFPA/Shared%20Documents/GC%20RF/Competitor/FY25/2412/Store%20Count/FY25_Q2_To%20Finance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achinc.sharepoint.com/sites/APACFPA/Shared%20Documents/GC%20RF/Competitor/FY25/2503/Store%20Count/FY25_Q3_To%20Finance_summary.xlsx" TargetMode="External"/><Relationship Id="rId1" Type="http://schemas.openxmlformats.org/officeDocument/2006/relationships/externalLinkPath" Target="/sites/APACFPA/Shared%20Documents/GC%20RF/Competitor/FY25/2503/Store%20Count/FY25_Q3_To%20Finance_summ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ma3\Downloads\FY25_Q4_To%20Finance_summary.xlsx" TargetMode="External"/><Relationship Id="rId1" Type="http://schemas.openxmlformats.org/officeDocument/2006/relationships/externalLinkPath" Target="file:///C:\Users\sma3\Downloads\FY25_Q4_To%20Finance_summa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RBySJS81kqPRM3HB1MOOy3CU0MFR9BMlGlfIr5rYj8-NdI-2diGS63ey1hZTDg9" itemId="01DG27MCALTNM6YJZMKNE2HLAPJYFQP6IG">
      <xxl21:absoluteUrl r:id="rId2"/>
    </xxl21:alternateUrls>
    <sheetNames>
      <sheetName val="FP"/>
      <sheetName val="FY23_Q4 To Finance"/>
    </sheetNames>
    <sheetDataSet>
      <sheetData sheetId="0">
        <row r="1">
          <cell r="C1"/>
          <cell r="D1"/>
          <cell r="E1"/>
          <cell r="F1"/>
          <cell r="G1"/>
          <cell r="J1"/>
          <cell r="K1"/>
          <cell r="L1"/>
          <cell r="M1"/>
          <cell r="N1"/>
          <cell r="O1"/>
        </row>
        <row r="2">
          <cell r="F2"/>
          <cell r="G2"/>
          <cell r="J2"/>
          <cell r="K2"/>
          <cell r="L2"/>
          <cell r="M2"/>
          <cell r="N2"/>
          <cell r="O2"/>
        </row>
        <row r="3">
          <cell r="C3"/>
          <cell r="D3"/>
          <cell r="E3"/>
          <cell r="F3"/>
          <cell r="G3"/>
          <cell r="J3"/>
          <cell r="K3"/>
          <cell r="L3"/>
          <cell r="M3"/>
          <cell r="N3"/>
          <cell r="O3"/>
        </row>
        <row r="4">
          <cell r="C4"/>
          <cell r="D4"/>
          <cell r="E4"/>
          <cell r="F4"/>
          <cell r="G4"/>
          <cell r="J4"/>
          <cell r="K4"/>
          <cell r="L4"/>
          <cell r="M4"/>
          <cell r="N4"/>
          <cell r="O4"/>
        </row>
        <row r="5">
          <cell r="C5"/>
          <cell r="D5" t="str">
            <v>Store count 
FY21 Q1</v>
          </cell>
          <cell r="E5" t="str">
            <v>Store count 
FY21 Q2</v>
          </cell>
          <cell r="F5" t="str">
            <v>Store count 
FY21 Q3</v>
          </cell>
          <cell r="G5" t="str">
            <v>Store count 
FY21 Q4</v>
          </cell>
          <cell r="H5" t="str">
            <v>Store Count 
FY22 Q1</v>
          </cell>
          <cell r="I5" t="str">
            <v>Store count
FY22 Q2</v>
          </cell>
          <cell r="J5" t="str">
            <v>Store count
FY22 Q3</v>
          </cell>
          <cell r="K5" t="str">
            <v>Store count
FY22 Q4</v>
          </cell>
          <cell r="L5" t="str">
            <v>Store count
FY23 Q1</v>
          </cell>
          <cell r="M5" t="str">
            <v>Store Count
FY23 Q2</v>
          </cell>
          <cell r="N5" t="str">
            <v>Store Count
FY23 Q3</v>
          </cell>
          <cell r="O5" t="str">
            <v>Store Count
FY23 Q4</v>
          </cell>
        </row>
        <row r="6">
          <cell r="F6"/>
          <cell r="H6"/>
          <cell r="I6"/>
          <cell r="J6"/>
          <cell r="K6"/>
          <cell r="L6"/>
          <cell r="M6"/>
          <cell r="N6"/>
          <cell r="O6"/>
        </row>
        <row r="7">
          <cell r="C7" t="str">
            <v>Competitors</v>
          </cell>
          <cell r="D7"/>
          <cell r="E7"/>
          <cell r="F7"/>
          <cell r="H7"/>
          <cell r="I7"/>
          <cell r="J7"/>
          <cell r="K7"/>
          <cell r="L7"/>
          <cell r="M7"/>
          <cell r="N7"/>
          <cell r="O7"/>
        </row>
        <row r="8">
          <cell r="C8" t="str">
            <v>LV</v>
          </cell>
          <cell r="F8">
            <v>43</v>
          </cell>
          <cell r="G8">
            <v>56</v>
          </cell>
          <cell r="H8">
            <v>57</v>
          </cell>
          <cell r="I8">
            <v>58</v>
          </cell>
          <cell r="J8">
            <v>60</v>
          </cell>
          <cell r="K8">
            <v>60</v>
          </cell>
          <cell r="L8">
            <v>61</v>
          </cell>
          <cell r="M8">
            <v>64</v>
          </cell>
          <cell r="N8">
            <v>64</v>
          </cell>
          <cell r="O8">
            <v>64</v>
          </cell>
        </row>
        <row r="9">
          <cell r="C9" t="str">
            <v>Gucci</v>
          </cell>
          <cell r="D9"/>
          <cell r="E9"/>
          <cell r="F9">
            <v>51</v>
          </cell>
          <cell r="G9">
            <v>58</v>
          </cell>
          <cell r="H9">
            <v>59</v>
          </cell>
          <cell r="I9">
            <v>70</v>
          </cell>
          <cell r="J9">
            <v>74</v>
          </cell>
          <cell r="K9">
            <v>73</v>
          </cell>
          <cell r="L9">
            <v>76</v>
          </cell>
          <cell r="M9">
            <v>81</v>
          </cell>
          <cell r="N9">
            <v>79</v>
          </cell>
          <cell r="O9">
            <v>80</v>
          </cell>
        </row>
        <row r="10">
          <cell r="C10" t="str">
            <v>Dior</v>
          </cell>
          <cell r="D10"/>
          <cell r="E10"/>
          <cell r="F10">
            <v>26</v>
          </cell>
          <cell r="G10">
            <v>34</v>
          </cell>
          <cell r="H10">
            <v>37</v>
          </cell>
          <cell r="I10">
            <v>30</v>
          </cell>
          <cell r="J10">
            <v>32</v>
          </cell>
          <cell r="K10">
            <v>32</v>
          </cell>
          <cell r="L10">
            <v>32</v>
          </cell>
          <cell r="M10">
            <v>37</v>
          </cell>
          <cell r="N10">
            <v>37</v>
          </cell>
          <cell r="O10">
            <v>37</v>
          </cell>
        </row>
        <row r="11">
          <cell r="C11" t="str">
            <v>Big Three Luxury Brands</v>
          </cell>
          <cell r="F11">
            <v>120</v>
          </cell>
          <cell r="G11">
            <v>148</v>
          </cell>
          <cell r="H11">
            <v>153</v>
          </cell>
          <cell r="I11">
            <v>158</v>
          </cell>
          <cell r="J11">
            <v>166</v>
          </cell>
          <cell r="K11">
            <v>165</v>
          </cell>
          <cell r="L11">
            <v>169</v>
          </cell>
          <cell r="M11">
            <v>182</v>
          </cell>
          <cell r="N11">
            <v>180</v>
          </cell>
          <cell r="O11">
            <v>181</v>
          </cell>
        </row>
        <row r="12">
          <cell r="F12"/>
          <cell r="G12"/>
          <cell r="H12"/>
          <cell r="I12"/>
          <cell r="J12"/>
          <cell r="K12"/>
          <cell r="L12"/>
          <cell r="M12"/>
          <cell r="N12"/>
          <cell r="O12"/>
        </row>
        <row r="13">
          <cell r="C13" t="str">
            <v>Chanel</v>
          </cell>
          <cell r="D13"/>
          <cell r="E13"/>
          <cell r="F13">
            <v>15</v>
          </cell>
          <cell r="G13">
            <v>15</v>
          </cell>
          <cell r="H13">
            <v>15</v>
          </cell>
          <cell r="I13">
            <v>15</v>
          </cell>
          <cell r="J13">
            <v>15</v>
          </cell>
          <cell r="K13">
            <v>15</v>
          </cell>
          <cell r="L13">
            <v>15</v>
          </cell>
          <cell r="M13">
            <v>16</v>
          </cell>
          <cell r="N13">
            <v>16</v>
          </cell>
          <cell r="O13">
            <v>16</v>
          </cell>
        </row>
        <row r="14">
          <cell r="C14" t="str">
            <v>Burberry</v>
          </cell>
          <cell r="D14"/>
          <cell r="E14"/>
          <cell r="F14">
            <v>62</v>
          </cell>
          <cell r="G14">
            <v>61</v>
          </cell>
          <cell r="H14">
            <v>73</v>
          </cell>
          <cell r="I14">
            <v>70</v>
          </cell>
          <cell r="J14">
            <v>70</v>
          </cell>
          <cell r="K14">
            <v>65</v>
          </cell>
          <cell r="L14">
            <v>67</v>
          </cell>
          <cell r="M14">
            <v>65</v>
          </cell>
          <cell r="N14">
            <v>65</v>
          </cell>
          <cell r="O14">
            <v>70</v>
          </cell>
        </row>
        <row r="15">
          <cell r="C15" t="str">
            <v>Prada</v>
          </cell>
          <cell r="F15">
            <v>35</v>
          </cell>
          <cell r="G15">
            <v>36</v>
          </cell>
          <cell r="H15">
            <v>36</v>
          </cell>
          <cell r="I15">
            <v>36</v>
          </cell>
          <cell r="J15">
            <v>37</v>
          </cell>
          <cell r="K15">
            <v>38</v>
          </cell>
          <cell r="L15">
            <v>36</v>
          </cell>
          <cell r="M15">
            <v>38</v>
          </cell>
          <cell r="N15">
            <v>34</v>
          </cell>
          <cell r="O15">
            <v>38</v>
          </cell>
        </row>
        <row r="16">
          <cell r="C16" t="str">
            <v>Hermes</v>
          </cell>
          <cell r="D16"/>
          <cell r="E16"/>
          <cell r="F16">
            <v>28</v>
          </cell>
          <cell r="G16">
            <v>26</v>
          </cell>
          <cell r="H16">
            <v>26</v>
          </cell>
          <cell r="I16">
            <v>29</v>
          </cell>
          <cell r="J16">
            <v>29</v>
          </cell>
          <cell r="K16">
            <v>29</v>
          </cell>
          <cell r="L16">
            <v>29</v>
          </cell>
          <cell r="M16">
            <v>29</v>
          </cell>
          <cell r="N16">
            <v>29</v>
          </cell>
          <cell r="O16">
            <v>30</v>
          </cell>
        </row>
        <row r="17">
          <cell r="C17" t="str">
            <v>Bottega Veneta</v>
          </cell>
          <cell r="D17"/>
          <cell r="E17"/>
          <cell r="F17">
            <v>42</v>
          </cell>
          <cell r="G17">
            <v>38</v>
          </cell>
          <cell r="H17">
            <v>37</v>
          </cell>
          <cell r="I17">
            <v>41</v>
          </cell>
          <cell r="J17">
            <v>41</v>
          </cell>
          <cell r="K17">
            <v>42</v>
          </cell>
          <cell r="L17">
            <v>41</v>
          </cell>
          <cell r="M17">
            <v>44</v>
          </cell>
          <cell r="N17">
            <v>46</v>
          </cell>
          <cell r="O17">
            <v>46</v>
          </cell>
        </row>
        <row r="18">
          <cell r="C18" t="str">
            <v>Balenciaga</v>
          </cell>
          <cell r="F18">
            <v>33</v>
          </cell>
          <cell r="G18">
            <v>33</v>
          </cell>
          <cell r="H18">
            <v>34</v>
          </cell>
          <cell r="I18">
            <v>36</v>
          </cell>
          <cell r="J18">
            <v>38</v>
          </cell>
          <cell r="K18">
            <v>38</v>
          </cell>
          <cell r="L18">
            <v>43</v>
          </cell>
          <cell r="M18">
            <v>45</v>
          </cell>
          <cell r="N18">
            <v>45</v>
          </cell>
          <cell r="O18">
            <v>45</v>
          </cell>
        </row>
        <row r="19">
          <cell r="C19" t="str">
            <v>Fendi</v>
          </cell>
          <cell r="D19"/>
          <cell r="E19"/>
          <cell r="F19">
            <v>26</v>
          </cell>
          <cell r="G19">
            <v>28</v>
          </cell>
          <cell r="H19">
            <v>28</v>
          </cell>
          <cell r="I19">
            <v>37</v>
          </cell>
          <cell r="J19">
            <v>37</v>
          </cell>
          <cell r="K19">
            <v>38</v>
          </cell>
          <cell r="L19">
            <v>38</v>
          </cell>
          <cell r="M19">
            <v>40</v>
          </cell>
          <cell r="N19">
            <v>41</v>
          </cell>
          <cell r="O19">
            <v>41</v>
          </cell>
        </row>
        <row r="20">
          <cell r="C20" t="str">
            <v>Saint Laurent</v>
          </cell>
          <cell r="F20">
            <v>34</v>
          </cell>
          <cell r="G20">
            <v>42</v>
          </cell>
          <cell r="H20">
            <v>43</v>
          </cell>
          <cell r="I20">
            <v>43</v>
          </cell>
          <cell r="J20">
            <v>46</v>
          </cell>
          <cell r="K20">
            <v>45</v>
          </cell>
          <cell r="L20">
            <v>44</v>
          </cell>
          <cell r="M20">
            <v>46</v>
          </cell>
          <cell r="N20">
            <v>45</v>
          </cell>
          <cell r="O20">
            <v>45</v>
          </cell>
        </row>
        <row r="21">
          <cell r="C21" t="str">
            <v>Valentino</v>
          </cell>
          <cell r="F21">
            <v>25</v>
          </cell>
          <cell r="G21">
            <v>31</v>
          </cell>
          <cell r="H21">
            <v>31</v>
          </cell>
          <cell r="I21">
            <v>30</v>
          </cell>
          <cell r="J21">
            <v>32</v>
          </cell>
          <cell r="K21">
            <v>27</v>
          </cell>
          <cell r="L21">
            <v>30</v>
          </cell>
          <cell r="M21">
            <v>32</v>
          </cell>
          <cell r="N21">
            <v>31</v>
          </cell>
          <cell r="O21">
            <v>32</v>
          </cell>
        </row>
        <row r="22">
          <cell r="C22" t="str">
            <v>Stuart Weitzman</v>
          </cell>
          <cell r="F22">
            <v>48</v>
          </cell>
          <cell r="G22">
            <v>52</v>
          </cell>
          <cell r="H22">
            <v>54</v>
          </cell>
          <cell r="I22">
            <v>45</v>
          </cell>
          <cell r="J22">
            <v>45</v>
          </cell>
          <cell r="K22">
            <v>46</v>
          </cell>
          <cell r="L22">
            <v>46</v>
          </cell>
          <cell r="M22">
            <v>47</v>
          </cell>
          <cell r="N22">
            <v>49</v>
          </cell>
          <cell r="O22">
            <v>51</v>
          </cell>
        </row>
        <row r="23">
          <cell r="C23" t="str">
            <v>Loewe</v>
          </cell>
          <cell r="D23"/>
          <cell r="E23"/>
          <cell r="F23"/>
          <cell r="G23"/>
          <cell r="H23"/>
          <cell r="I23"/>
          <cell r="J23"/>
          <cell r="K23">
            <v>30</v>
          </cell>
          <cell r="L23">
            <v>30</v>
          </cell>
          <cell r="M23">
            <v>31</v>
          </cell>
          <cell r="N23">
            <v>31</v>
          </cell>
          <cell r="O23">
            <v>29</v>
          </cell>
        </row>
        <row r="24">
          <cell r="C24" t="str">
            <v>Other Luxury</v>
          </cell>
          <cell r="F24">
            <v>348</v>
          </cell>
          <cell r="G24">
            <v>362</v>
          </cell>
          <cell r="H24">
            <v>377</v>
          </cell>
          <cell r="I24">
            <v>382</v>
          </cell>
          <cell r="J24">
            <v>390</v>
          </cell>
          <cell r="K24">
            <v>413</v>
          </cell>
          <cell r="L24">
            <v>419</v>
          </cell>
          <cell r="M24">
            <v>433</v>
          </cell>
          <cell r="N24">
            <v>432</v>
          </cell>
          <cell r="O24">
            <v>443</v>
          </cell>
        </row>
        <row r="25">
          <cell r="C25"/>
          <cell r="D25"/>
          <cell r="E25"/>
          <cell r="F25"/>
          <cell r="H25"/>
          <cell r="I25"/>
          <cell r="J25"/>
          <cell r="K25"/>
          <cell r="L25"/>
          <cell r="M25"/>
          <cell r="N25"/>
          <cell r="O25"/>
        </row>
        <row r="26">
          <cell r="C26" t="str">
            <v>Longchamp</v>
          </cell>
          <cell r="F26">
            <v>21</v>
          </cell>
          <cell r="G26">
            <v>25</v>
          </cell>
          <cell r="H26">
            <v>26</v>
          </cell>
          <cell r="I26">
            <v>27</v>
          </cell>
          <cell r="J26">
            <v>27</v>
          </cell>
          <cell r="K26">
            <v>28</v>
          </cell>
          <cell r="L26">
            <v>31</v>
          </cell>
          <cell r="M26">
            <v>33</v>
          </cell>
          <cell r="N26">
            <v>34</v>
          </cell>
          <cell r="O26">
            <v>35</v>
          </cell>
        </row>
        <row r="27">
          <cell r="C27" t="str">
            <v>Furla</v>
          </cell>
          <cell r="D27"/>
          <cell r="E27"/>
          <cell r="F27">
            <v>67</v>
          </cell>
          <cell r="G27">
            <v>62</v>
          </cell>
          <cell r="H27">
            <v>50</v>
          </cell>
          <cell r="I27">
            <v>57</v>
          </cell>
          <cell r="J27">
            <v>63</v>
          </cell>
          <cell r="K27">
            <v>63</v>
          </cell>
          <cell r="L27">
            <v>64</v>
          </cell>
          <cell r="M27">
            <v>63</v>
          </cell>
          <cell r="N27">
            <v>65</v>
          </cell>
          <cell r="O27">
            <v>57</v>
          </cell>
        </row>
        <row r="28">
          <cell r="C28" t="str">
            <v>Kate Spade</v>
          </cell>
          <cell r="D28"/>
          <cell r="E28"/>
          <cell r="F28">
            <v>31</v>
          </cell>
          <cell r="G28">
            <v>29</v>
          </cell>
          <cell r="H28">
            <v>26</v>
          </cell>
          <cell r="I28">
            <v>25</v>
          </cell>
          <cell r="J28">
            <v>24</v>
          </cell>
          <cell r="K28">
            <v>23</v>
          </cell>
          <cell r="L28">
            <v>21</v>
          </cell>
          <cell r="M28">
            <v>21</v>
          </cell>
          <cell r="N28">
            <v>22</v>
          </cell>
          <cell r="O28">
            <v>21</v>
          </cell>
        </row>
        <row r="29">
          <cell r="C29" t="str">
            <v>Tory Burch</v>
          </cell>
          <cell r="F29">
            <v>34</v>
          </cell>
          <cell r="G29">
            <v>45</v>
          </cell>
          <cell r="H29">
            <v>39</v>
          </cell>
          <cell r="I29">
            <v>38</v>
          </cell>
          <cell r="J29">
            <v>37</v>
          </cell>
          <cell r="K29">
            <v>52</v>
          </cell>
          <cell r="L29">
            <v>55</v>
          </cell>
          <cell r="M29">
            <v>55</v>
          </cell>
          <cell r="N29">
            <v>59</v>
          </cell>
          <cell r="O29">
            <v>62</v>
          </cell>
        </row>
        <row r="30">
          <cell r="C30" t="str">
            <v>Michael Kors</v>
          </cell>
          <cell r="F30">
            <v>111</v>
          </cell>
          <cell r="G30">
            <v>111</v>
          </cell>
          <cell r="H30">
            <v>112</v>
          </cell>
          <cell r="I30">
            <v>105</v>
          </cell>
          <cell r="J30">
            <v>108</v>
          </cell>
          <cell r="K30">
            <v>109</v>
          </cell>
          <cell r="L30">
            <v>109</v>
          </cell>
          <cell r="M30">
            <v>112</v>
          </cell>
          <cell r="N30">
            <v>113</v>
          </cell>
          <cell r="O30">
            <v>114</v>
          </cell>
        </row>
        <row r="31">
          <cell r="C31" t="str">
            <v>MCM</v>
          </cell>
          <cell r="F31">
            <v>53</v>
          </cell>
          <cell r="G31">
            <v>53</v>
          </cell>
          <cell r="H31">
            <v>46</v>
          </cell>
          <cell r="I31">
            <v>56</v>
          </cell>
          <cell r="J31">
            <v>65</v>
          </cell>
          <cell r="K31">
            <v>68</v>
          </cell>
          <cell r="L31">
            <v>67</v>
          </cell>
          <cell r="M31">
            <v>60</v>
          </cell>
          <cell r="N31">
            <v>60</v>
          </cell>
          <cell r="O31">
            <v>60</v>
          </cell>
        </row>
        <row r="32">
          <cell r="C32" t="str">
            <v>CharlesKeith</v>
          </cell>
          <cell r="D32"/>
          <cell r="E32"/>
          <cell r="F32">
            <v>224</v>
          </cell>
          <cell r="G32">
            <v>262</v>
          </cell>
          <cell r="H32">
            <v>273</v>
          </cell>
          <cell r="I32">
            <v>271</v>
          </cell>
          <cell r="J32">
            <v>265</v>
          </cell>
          <cell r="K32">
            <v>263</v>
          </cell>
          <cell r="L32">
            <v>277</v>
          </cell>
          <cell r="M32">
            <v>272</v>
          </cell>
          <cell r="N32">
            <v>268</v>
          </cell>
          <cell r="O32">
            <v>263</v>
          </cell>
        </row>
        <row r="33">
          <cell r="C33" t="str">
            <v>Accessible Luxury</v>
          </cell>
          <cell r="F33">
            <v>541</v>
          </cell>
          <cell r="G33">
            <v>587</v>
          </cell>
          <cell r="H33">
            <v>572</v>
          </cell>
          <cell r="I33">
            <v>579</v>
          </cell>
          <cell r="J33">
            <v>589</v>
          </cell>
          <cell r="K33">
            <v>606</v>
          </cell>
          <cell r="L33">
            <v>624</v>
          </cell>
          <cell r="M33">
            <v>616</v>
          </cell>
          <cell r="N33">
            <v>621</v>
          </cell>
          <cell r="O33">
            <v>612</v>
          </cell>
        </row>
        <row r="34">
          <cell r="C34"/>
          <cell r="D34"/>
          <cell r="E34"/>
          <cell r="F34"/>
          <cell r="H34"/>
          <cell r="I34"/>
          <cell r="J34"/>
          <cell r="K34"/>
          <cell r="L34"/>
          <cell r="M34"/>
          <cell r="N34"/>
          <cell r="O34"/>
        </row>
        <row r="35">
          <cell r="C35" t="str">
            <v>Hugo Boss</v>
          </cell>
          <cell r="D35"/>
          <cell r="E35"/>
          <cell r="F35">
            <v>102</v>
          </cell>
          <cell r="G35">
            <v>116</v>
          </cell>
          <cell r="H35">
            <v>116</v>
          </cell>
          <cell r="I35">
            <v>121</v>
          </cell>
          <cell r="J35">
            <v>122</v>
          </cell>
          <cell r="K35">
            <v>122</v>
          </cell>
          <cell r="L35">
            <v>115</v>
          </cell>
          <cell r="M35">
            <v>116</v>
          </cell>
          <cell r="N35">
            <v>114</v>
          </cell>
          <cell r="O35">
            <v>117</v>
          </cell>
        </row>
        <row r="36">
          <cell r="C36" t="str">
            <v>Men's</v>
          </cell>
          <cell r="D36"/>
          <cell r="E36"/>
          <cell r="F36">
            <v>102</v>
          </cell>
          <cell r="G36">
            <v>116</v>
          </cell>
          <cell r="H36">
            <v>116</v>
          </cell>
          <cell r="I36">
            <v>121</v>
          </cell>
          <cell r="J36">
            <v>122</v>
          </cell>
          <cell r="K36">
            <v>122</v>
          </cell>
          <cell r="L36">
            <v>115</v>
          </cell>
          <cell r="M36">
            <v>116</v>
          </cell>
          <cell r="N36">
            <v>114</v>
          </cell>
          <cell r="O36">
            <v>117</v>
          </cell>
        </row>
        <row r="37">
          <cell r="C37"/>
          <cell r="D37"/>
          <cell r="E37"/>
          <cell r="F37"/>
          <cell r="H37"/>
          <cell r="I37"/>
          <cell r="J37"/>
          <cell r="K37"/>
          <cell r="L37"/>
          <cell r="M37"/>
          <cell r="N37"/>
          <cell r="O37"/>
        </row>
        <row r="38">
          <cell r="C38" t="str">
            <v>AcneStudio</v>
          </cell>
          <cell r="F38">
            <v>9</v>
          </cell>
          <cell r="G38">
            <v>9</v>
          </cell>
          <cell r="H38">
            <v>10</v>
          </cell>
          <cell r="I38">
            <v>10</v>
          </cell>
          <cell r="J38">
            <v>10</v>
          </cell>
          <cell r="K38">
            <v>10</v>
          </cell>
          <cell r="L38">
            <v>11</v>
          </cell>
          <cell r="M38">
            <v>11</v>
          </cell>
          <cell r="N38">
            <v>12</v>
          </cell>
          <cell r="O38">
            <v>12</v>
          </cell>
        </row>
        <row r="39">
          <cell r="C39" t="str">
            <v>Sandro</v>
          </cell>
          <cell r="F39">
            <v>66</v>
          </cell>
          <cell r="G39">
            <v>74</v>
          </cell>
          <cell r="H39">
            <v>93</v>
          </cell>
          <cell r="I39">
            <v>96</v>
          </cell>
          <cell r="J39">
            <v>99</v>
          </cell>
          <cell r="K39">
            <v>97</v>
          </cell>
          <cell r="L39">
            <v>80</v>
          </cell>
          <cell r="M39">
            <v>80</v>
          </cell>
          <cell r="N39">
            <v>81</v>
          </cell>
          <cell r="O39">
            <v>83</v>
          </cell>
        </row>
        <row r="40">
          <cell r="C40" t="str">
            <v>Maje</v>
          </cell>
          <cell r="D40"/>
          <cell r="E40"/>
          <cell r="F40">
            <v>66</v>
          </cell>
          <cell r="G40">
            <v>67</v>
          </cell>
          <cell r="H40">
            <v>79</v>
          </cell>
          <cell r="I40">
            <v>82</v>
          </cell>
          <cell r="J40">
            <v>86</v>
          </cell>
          <cell r="K40">
            <v>84</v>
          </cell>
          <cell r="L40">
            <v>76</v>
          </cell>
          <cell r="M40">
            <v>76</v>
          </cell>
          <cell r="N40">
            <v>78</v>
          </cell>
          <cell r="O40">
            <v>76</v>
          </cell>
        </row>
        <row r="41">
          <cell r="C41" t="str">
            <v>RTW</v>
          </cell>
          <cell r="D41"/>
          <cell r="E41"/>
          <cell r="F41">
            <v>141</v>
          </cell>
          <cell r="G41">
            <v>150</v>
          </cell>
          <cell r="H41">
            <v>182</v>
          </cell>
          <cell r="I41">
            <v>188</v>
          </cell>
          <cell r="J41">
            <v>195</v>
          </cell>
          <cell r="K41">
            <v>191</v>
          </cell>
          <cell r="L41">
            <v>167</v>
          </cell>
          <cell r="M41">
            <v>167</v>
          </cell>
          <cell r="N41">
            <v>171</v>
          </cell>
          <cell r="O41">
            <v>171</v>
          </cell>
        </row>
        <row r="42">
          <cell r="C42" t="str">
            <v xml:space="preserve">Competitors Total </v>
          </cell>
          <cell r="D42"/>
          <cell r="E42"/>
          <cell r="F42"/>
          <cell r="G42"/>
          <cell r="H42"/>
          <cell r="I42"/>
          <cell r="J42"/>
          <cell r="K42"/>
          <cell r="L42"/>
          <cell r="M42"/>
          <cell r="N42"/>
          <cell r="O42"/>
        </row>
        <row r="43">
          <cell r="C43"/>
          <cell r="D43"/>
          <cell r="E43"/>
          <cell r="F43"/>
          <cell r="H43"/>
          <cell r="I43"/>
          <cell r="J43"/>
          <cell r="K43"/>
          <cell r="L43"/>
          <cell r="M43"/>
          <cell r="N43"/>
          <cell r="O43"/>
        </row>
        <row r="44">
          <cell r="C44" t="str">
            <v>Competitor excl. Big Three</v>
          </cell>
          <cell r="D44"/>
          <cell r="E44"/>
          <cell r="F44"/>
          <cell r="G44"/>
          <cell r="H44"/>
          <cell r="I44"/>
          <cell r="J44"/>
          <cell r="K44"/>
          <cell r="L44"/>
          <cell r="M44"/>
          <cell r="N44"/>
          <cell r="O44"/>
        </row>
        <row r="45">
          <cell r="C45" t="str">
            <v>Lancome</v>
          </cell>
          <cell r="H45"/>
          <cell r="I45"/>
          <cell r="J45"/>
          <cell r="K45"/>
          <cell r="L45"/>
          <cell r="M45"/>
          <cell r="N45"/>
          <cell r="O45"/>
        </row>
        <row r="46">
          <cell r="J46"/>
          <cell r="K46"/>
          <cell r="L46"/>
          <cell r="M46"/>
          <cell r="N46"/>
          <cell r="O46"/>
        </row>
        <row r="47">
          <cell r="F47"/>
          <cell r="G47"/>
          <cell r="H47"/>
          <cell r="I47"/>
          <cell r="J47"/>
          <cell r="K47"/>
          <cell r="L47"/>
          <cell r="M47"/>
          <cell r="N47"/>
          <cell r="O47"/>
        </row>
        <row r="48">
          <cell r="F48"/>
          <cell r="G48"/>
          <cell r="H48"/>
          <cell r="I48"/>
          <cell r="J48"/>
          <cell r="K48"/>
          <cell r="L48"/>
          <cell r="M48"/>
          <cell r="N48"/>
          <cell r="O48"/>
        </row>
        <row r="49">
          <cell r="C49"/>
          <cell r="D49"/>
          <cell r="E49"/>
          <cell r="F49"/>
          <cell r="G49"/>
          <cell r="H49"/>
          <cell r="I49"/>
          <cell r="J49"/>
          <cell r="K49"/>
          <cell r="L49"/>
          <cell r="M49"/>
          <cell r="N49"/>
          <cell r="O49"/>
        </row>
        <row r="50">
          <cell r="C50" t="str">
            <v>MCM comp +112% is mainly driven by BJ SKP anniversary, Apr store sales seeing 10 times of previous month.</v>
          </cell>
          <cell r="D50"/>
          <cell r="E50"/>
          <cell r="F50"/>
        </row>
        <row r="51">
          <cell r="C51"/>
          <cell r="D51"/>
          <cell r="E51"/>
          <cell r="F51"/>
        </row>
        <row r="55">
          <cell r="C55"/>
          <cell r="D55"/>
          <cell r="E55"/>
          <cell r="F55"/>
          <cell r="G55"/>
          <cell r="H55"/>
          <cell r="I55"/>
          <cell r="J55"/>
          <cell r="K55"/>
          <cell r="L55"/>
          <cell r="M55"/>
          <cell r="N55"/>
          <cell r="O55"/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P"/>
    </sheetNames>
    <sheetDataSet>
      <sheetData sheetId="0">
        <row r="1">
          <cell r="C1"/>
          <cell r="D1"/>
          <cell r="E1"/>
          <cell r="F1"/>
          <cell r="G1"/>
          <cell r="J1"/>
          <cell r="K1"/>
          <cell r="L1"/>
          <cell r="M1"/>
          <cell r="N1"/>
          <cell r="O1"/>
          <cell r="P1"/>
        </row>
        <row r="2">
          <cell r="F2"/>
          <cell r="G2"/>
          <cell r="J2"/>
          <cell r="K2"/>
          <cell r="L2"/>
          <cell r="M2"/>
          <cell r="N2"/>
          <cell r="O2"/>
          <cell r="P2"/>
        </row>
        <row r="3">
          <cell r="C3"/>
          <cell r="D3"/>
          <cell r="E3"/>
          <cell r="F3"/>
          <cell r="G3"/>
          <cell r="J3"/>
          <cell r="K3"/>
          <cell r="L3"/>
          <cell r="M3"/>
          <cell r="N3"/>
          <cell r="O3"/>
          <cell r="P3"/>
        </row>
        <row r="4">
          <cell r="C4"/>
          <cell r="D4"/>
          <cell r="E4"/>
          <cell r="F4"/>
          <cell r="G4"/>
          <cell r="J4"/>
          <cell r="K4"/>
          <cell r="L4"/>
          <cell r="M4"/>
          <cell r="N4"/>
          <cell r="O4"/>
          <cell r="P4"/>
        </row>
        <row r="5">
          <cell r="C5"/>
          <cell r="D5" t="str">
            <v>Store count 
FY21 Q1</v>
          </cell>
          <cell r="E5" t="str">
            <v>Store count 
FY21 Q2</v>
          </cell>
          <cell r="F5" t="str">
            <v>Store count 
FY21 Q3</v>
          </cell>
          <cell r="G5" t="str">
            <v>Store count 
FY21 Q4</v>
          </cell>
          <cell r="H5" t="str">
            <v>Store Count 
FY22 Q1</v>
          </cell>
          <cell r="I5" t="str">
            <v>Store count
FY22 Q2</v>
          </cell>
          <cell r="J5" t="str">
            <v>Store count
FY22 Q3</v>
          </cell>
          <cell r="K5" t="str">
            <v>Store count
FY22 Q4</v>
          </cell>
          <cell r="L5" t="str">
            <v>Store count
FY23 Q1</v>
          </cell>
          <cell r="M5" t="str">
            <v>Store Count
FY23 Q2</v>
          </cell>
          <cell r="N5" t="str">
            <v>Store Count
FY23 Q3</v>
          </cell>
          <cell r="O5" t="str">
            <v>Store Count
FY23 Q4</v>
          </cell>
          <cell r="P5" t="str">
            <v>Store Count FY24 Q1</v>
          </cell>
        </row>
        <row r="6">
          <cell r="F6"/>
          <cell r="H6"/>
          <cell r="I6"/>
          <cell r="J6"/>
          <cell r="K6"/>
          <cell r="L6"/>
          <cell r="M6"/>
          <cell r="N6"/>
          <cell r="O6"/>
          <cell r="P6"/>
        </row>
        <row r="7">
          <cell r="C7" t="str">
            <v>Competitors</v>
          </cell>
          <cell r="D7"/>
          <cell r="E7"/>
          <cell r="F7"/>
          <cell r="H7"/>
          <cell r="I7"/>
          <cell r="J7"/>
          <cell r="K7"/>
          <cell r="L7"/>
          <cell r="M7"/>
          <cell r="N7"/>
          <cell r="O7"/>
          <cell r="P7"/>
        </row>
        <row r="8">
          <cell r="C8" t="str">
            <v>LV</v>
          </cell>
          <cell r="F8">
            <v>43</v>
          </cell>
          <cell r="G8">
            <v>56</v>
          </cell>
          <cell r="H8">
            <v>57</v>
          </cell>
          <cell r="I8">
            <v>58</v>
          </cell>
          <cell r="J8">
            <v>60</v>
          </cell>
          <cell r="K8">
            <v>60</v>
          </cell>
          <cell r="L8">
            <v>61</v>
          </cell>
          <cell r="M8">
            <v>64</v>
          </cell>
          <cell r="N8">
            <v>64</v>
          </cell>
          <cell r="O8">
            <v>64</v>
          </cell>
          <cell r="P8">
            <v>64</v>
          </cell>
        </row>
        <row r="9">
          <cell r="C9" t="str">
            <v>Gucci</v>
          </cell>
          <cell r="D9"/>
          <cell r="E9"/>
          <cell r="F9">
            <v>51</v>
          </cell>
          <cell r="G9">
            <v>58</v>
          </cell>
          <cell r="H9">
            <v>59</v>
          </cell>
          <cell r="I9">
            <v>70</v>
          </cell>
          <cell r="J9">
            <v>74</v>
          </cell>
          <cell r="K9">
            <v>73</v>
          </cell>
          <cell r="L9">
            <v>76</v>
          </cell>
          <cell r="M9">
            <v>81</v>
          </cell>
          <cell r="N9">
            <v>79</v>
          </cell>
          <cell r="O9">
            <v>80</v>
          </cell>
          <cell r="P9">
            <v>85</v>
          </cell>
        </row>
        <row r="10">
          <cell r="C10" t="str">
            <v>Dior</v>
          </cell>
          <cell r="D10"/>
          <cell r="E10"/>
          <cell r="F10">
            <v>26</v>
          </cell>
          <cell r="G10">
            <v>34</v>
          </cell>
          <cell r="H10">
            <v>37</v>
          </cell>
          <cell r="I10">
            <v>30</v>
          </cell>
          <cell r="J10">
            <v>32</v>
          </cell>
          <cell r="K10">
            <v>32</v>
          </cell>
          <cell r="L10">
            <v>32</v>
          </cell>
          <cell r="M10">
            <v>37</v>
          </cell>
          <cell r="N10">
            <v>37</v>
          </cell>
          <cell r="O10">
            <v>37</v>
          </cell>
          <cell r="P10">
            <v>37</v>
          </cell>
        </row>
        <row r="11">
          <cell r="C11" t="str">
            <v>Big Three Luxury Brands</v>
          </cell>
          <cell r="F11">
            <v>120</v>
          </cell>
          <cell r="G11">
            <v>148</v>
          </cell>
          <cell r="H11">
            <v>153</v>
          </cell>
          <cell r="I11">
            <v>158</v>
          </cell>
          <cell r="J11">
            <v>166</v>
          </cell>
          <cell r="K11">
            <v>165</v>
          </cell>
          <cell r="L11">
            <v>169</v>
          </cell>
          <cell r="M11">
            <v>182</v>
          </cell>
          <cell r="N11">
            <v>180</v>
          </cell>
          <cell r="O11">
            <v>181</v>
          </cell>
          <cell r="P11">
            <v>186</v>
          </cell>
        </row>
        <row r="12">
          <cell r="F12"/>
          <cell r="G12"/>
          <cell r="H12"/>
          <cell r="I12"/>
          <cell r="J12"/>
          <cell r="K12"/>
          <cell r="L12"/>
          <cell r="M12"/>
          <cell r="N12"/>
          <cell r="O12"/>
          <cell r="P12"/>
        </row>
        <row r="13">
          <cell r="C13" t="str">
            <v>Chanel</v>
          </cell>
          <cell r="D13"/>
          <cell r="E13"/>
          <cell r="F13">
            <v>15</v>
          </cell>
          <cell r="G13">
            <v>15</v>
          </cell>
          <cell r="H13">
            <v>15</v>
          </cell>
          <cell r="I13">
            <v>15</v>
          </cell>
          <cell r="J13">
            <v>15</v>
          </cell>
          <cell r="K13">
            <v>15</v>
          </cell>
          <cell r="L13">
            <v>15</v>
          </cell>
          <cell r="M13">
            <v>16</v>
          </cell>
          <cell r="N13">
            <v>16</v>
          </cell>
          <cell r="O13">
            <v>16</v>
          </cell>
          <cell r="P13">
            <v>16</v>
          </cell>
        </row>
        <row r="14">
          <cell r="C14" t="str">
            <v>Burberry</v>
          </cell>
          <cell r="D14"/>
          <cell r="E14"/>
          <cell r="F14">
            <v>62</v>
          </cell>
          <cell r="G14">
            <v>61</v>
          </cell>
          <cell r="H14">
            <v>73</v>
          </cell>
          <cell r="I14">
            <v>70</v>
          </cell>
          <cell r="J14">
            <v>70</v>
          </cell>
          <cell r="K14">
            <v>65</v>
          </cell>
          <cell r="L14">
            <v>67</v>
          </cell>
          <cell r="M14">
            <v>65</v>
          </cell>
          <cell r="N14">
            <v>65</v>
          </cell>
          <cell r="O14">
            <v>70</v>
          </cell>
          <cell r="P14">
            <v>71</v>
          </cell>
        </row>
        <row r="15">
          <cell r="C15" t="str">
            <v>Prada</v>
          </cell>
          <cell r="F15">
            <v>35</v>
          </cell>
          <cell r="G15">
            <v>36</v>
          </cell>
          <cell r="H15">
            <v>36</v>
          </cell>
          <cell r="I15">
            <v>36</v>
          </cell>
          <cell r="J15">
            <v>37</v>
          </cell>
          <cell r="K15">
            <v>38</v>
          </cell>
          <cell r="L15">
            <v>36</v>
          </cell>
          <cell r="M15">
            <v>38</v>
          </cell>
          <cell r="N15">
            <v>34</v>
          </cell>
          <cell r="O15">
            <v>38</v>
          </cell>
          <cell r="P15">
            <v>37</v>
          </cell>
        </row>
        <row r="16">
          <cell r="C16" t="str">
            <v>Hermes</v>
          </cell>
          <cell r="D16"/>
          <cell r="E16"/>
          <cell r="F16">
            <v>28</v>
          </cell>
          <cell r="G16">
            <v>26</v>
          </cell>
          <cell r="H16">
            <v>26</v>
          </cell>
          <cell r="I16">
            <v>29</v>
          </cell>
          <cell r="J16">
            <v>29</v>
          </cell>
          <cell r="K16">
            <v>29</v>
          </cell>
          <cell r="L16">
            <v>29</v>
          </cell>
          <cell r="M16">
            <v>29</v>
          </cell>
          <cell r="N16">
            <v>29</v>
          </cell>
          <cell r="O16">
            <v>30</v>
          </cell>
          <cell r="P16">
            <v>31</v>
          </cell>
        </row>
        <row r="17">
          <cell r="C17" t="str">
            <v>Bottega Veneta</v>
          </cell>
          <cell r="D17"/>
          <cell r="E17"/>
          <cell r="F17">
            <v>42</v>
          </cell>
          <cell r="G17">
            <v>38</v>
          </cell>
          <cell r="H17">
            <v>37</v>
          </cell>
          <cell r="I17">
            <v>41</v>
          </cell>
          <cell r="J17">
            <v>41</v>
          </cell>
          <cell r="K17">
            <v>42</v>
          </cell>
          <cell r="L17">
            <v>41</v>
          </cell>
          <cell r="M17">
            <v>44</v>
          </cell>
          <cell r="N17">
            <v>46</v>
          </cell>
          <cell r="O17">
            <v>46</v>
          </cell>
          <cell r="P17">
            <v>47</v>
          </cell>
        </row>
        <row r="18">
          <cell r="C18" t="str">
            <v>Balenciaga</v>
          </cell>
          <cell r="F18">
            <v>33</v>
          </cell>
          <cell r="G18">
            <v>33</v>
          </cell>
          <cell r="H18">
            <v>34</v>
          </cell>
          <cell r="I18">
            <v>36</v>
          </cell>
          <cell r="J18">
            <v>38</v>
          </cell>
          <cell r="K18">
            <v>38</v>
          </cell>
          <cell r="L18">
            <v>43</v>
          </cell>
          <cell r="M18">
            <v>45</v>
          </cell>
          <cell r="N18">
            <v>45</v>
          </cell>
          <cell r="O18">
            <v>45</v>
          </cell>
          <cell r="P18">
            <v>47</v>
          </cell>
        </row>
        <row r="19">
          <cell r="C19" t="str">
            <v>Fendi</v>
          </cell>
          <cell r="D19"/>
          <cell r="E19"/>
          <cell r="F19">
            <v>26</v>
          </cell>
          <cell r="G19">
            <v>28</v>
          </cell>
          <cell r="H19">
            <v>28</v>
          </cell>
          <cell r="I19">
            <v>37</v>
          </cell>
          <cell r="J19">
            <v>37</v>
          </cell>
          <cell r="K19">
            <v>38</v>
          </cell>
          <cell r="L19">
            <v>38</v>
          </cell>
          <cell r="M19">
            <v>40</v>
          </cell>
          <cell r="N19">
            <v>41</v>
          </cell>
          <cell r="O19">
            <v>41</v>
          </cell>
          <cell r="P19">
            <v>43</v>
          </cell>
        </row>
        <row r="20">
          <cell r="C20" t="str">
            <v>Saint Laurent</v>
          </cell>
          <cell r="F20">
            <v>34</v>
          </cell>
          <cell r="G20">
            <v>42</v>
          </cell>
          <cell r="H20">
            <v>43</v>
          </cell>
          <cell r="I20">
            <v>43</v>
          </cell>
          <cell r="J20">
            <v>46</v>
          </cell>
          <cell r="K20">
            <v>45</v>
          </cell>
          <cell r="L20">
            <v>44</v>
          </cell>
          <cell r="M20">
            <v>46</v>
          </cell>
          <cell r="N20">
            <v>45</v>
          </cell>
          <cell r="O20">
            <v>45</v>
          </cell>
          <cell r="P20">
            <v>45</v>
          </cell>
        </row>
        <row r="21">
          <cell r="C21" t="str">
            <v>Valentino</v>
          </cell>
          <cell r="F21">
            <v>25</v>
          </cell>
          <cell r="G21">
            <v>31</v>
          </cell>
          <cell r="H21">
            <v>31</v>
          </cell>
          <cell r="I21">
            <v>30</v>
          </cell>
          <cell r="J21">
            <v>32</v>
          </cell>
          <cell r="K21">
            <v>27</v>
          </cell>
          <cell r="L21">
            <v>30</v>
          </cell>
          <cell r="M21">
            <v>32</v>
          </cell>
          <cell r="N21">
            <v>31</v>
          </cell>
          <cell r="O21">
            <v>32</v>
          </cell>
          <cell r="P21">
            <v>32</v>
          </cell>
        </row>
        <row r="22">
          <cell r="C22" t="str">
            <v>Stuart Weitzman</v>
          </cell>
          <cell r="F22">
            <v>48</v>
          </cell>
          <cell r="G22">
            <v>52</v>
          </cell>
          <cell r="H22">
            <v>54</v>
          </cell>
          <cell r="I22">
            <v>45</v>
          </cell>
          <cell r="J22">
            <v>45</v>
          </cell>
          <cell r="K22">
            <v>46</v>
          </cell>
          <cell r="L22">
            <v>46</v>
          </cell>
          <cell r="M22">
            <v>47</v>
          </cell>
          <cell r="N22">
            <v>49</v>
          </cell>
          <cell r="O22">
            <v>51</v>
          </cell>
          <cell r="P22">
            <v>52</v>
          </cell>
        </row>
        <row r="23">
          <cell r="C23" t="str">
            <v>Loewe</v>
          </cell>
          <cell r="D23"/>
          <cell r="E23"/>
          <cell r="F23"/>
          <cell r="G23"/>
          <cell r="H23"/>
          <cell r="I23"/>
          <cell r="J23"/>
          <cell r="K23">
            <v>30</v>
          </cell>
          <cell r="L23">
            <v>30</v>
          </cell>
          <cell r="M23">
            <v>31</v>
          </cell>
          <cell r="N23">
            <v>31</v>
          </cell>
          <cell r="O23">
            <v>29</v>
          </cell>
          <cell r="P23">
            <v>30</v>
          </cell>
        </row>
        <row r="24">
          <cell r="C24" t="str">
            <v>Other Luxury</v>
          </cell>
          <cell r="F24">
            <v>348</v>
          </cell>
          <cell r="G24">
            <v>362</v>
          </cell>
          <cell r="H24">
            <v>377</v>
          </cell>
          <cell r="I24">
            <v>382</v>
          </cell>
          <cell r="J24">
            <v>390</v>
          </cell>
          <cell r="K24">
            <v>413</v>
          </cell>
          <cell r="L24">
            <v>419</v>
          </cell>
          <cell r="M24">
            <v>433</v>
          </cell>
          <cell r="N24">
            <v>432</v>
          </cell>
          <cell r="O24">
            <v>443</v>
          </cell>
          <cell r="P24">
            <v>451</v>
          </cell>
        </row>
        <row r="25">
          <cell r="C25"/>
          <cell r="D25"/>
          <cell r="E25"/>
          <cell r="F25"/>
          <cell r="H25"/>
          <cell r="I25"/>
          <cell r="J25"/>
          <cell r="K25"/>
          <cell r="L25"/>
          <cell r="M25"/>
          <cell r="N25"/>
          <cell r="O25"/>
          <cell r="P25"/>
        </row>
        <row r="26">
          <cell r="C26" t="str">
            <v>Longchamp</v>
          </cell>
          <cell r="F26">
            <v>21</v>
          </cell>
          <cell r="G26">
            <v>25</v>
          </cell>
          <cell r="H26">
            <v>26</v>
          </cell>
          <cell r="I26">
            <v>27</v>
          </cell>
          <cell r="J26">
            <v>27</v>
          </cell>
          <cell r="K26">
            <v>28</v>
          </cell>
          <cell r="L26">
            <v>31</v>
          </cell>
          <cell r="M26">
            <v>33</v>
          </cell>
          <cell r="N26">
            <v>34</v>
          </cell>
          <cell r="O26">
            <v>35</v>
          </cell>
          <cell r="P26">
            <v>35</v>
          </cell>
        </row>
        <row r="27">
          <cell r="C27" t="str">
            <v>Furla</v>
          </cell>
          <cell r="D27"/>
          <cell r="E27"/>
          <cell r="F27">
            <v>67</v>
          </cell>
          <cell r="G27">
            <v>62</v>
          </cell>
          <cell r="H27">
            <v>50</v>
          </cell>
          <cell r="I27">
            <v>57</v>
          </cell>
          <cell r="J27">
            <v>63</v>
          </cell>
          <cell r="K27">
            <v>63</v>
          </cell>
          <cell r="L27">
            <v>64</v>
          </cell>
          <cell r="M27">
            <v>63</v>
          </cell>
          <cell r="N27">
            <v>65</v>
          </cell>
          <cell r="O27">
            <v>57</v>
          </cell>
          <cell r="P27">
            <v>58</v>
          </cell>
        </row>
        <row r="28">
          <cell r="C28" t="str">
            <v>Kate Spade</v>
          </cell>
          <cell r="D28"/>
          <cell r="E28"/>
          <cell r="F28">
            <v>31</v>
          </cell>
          <cell r="G28">
            <v>29</v>
          </cell>
          <cell r="H28">
            <v>26</v>
          </cell>
          <cell r="I28">
            <v>25</v>
          </cell>
          <cell r="J28">
            <v>24</v>
          </cell>
          <cell r="K28">
            <v>23</v>
          </cell>
          <cell r="L28">
            <v>21</v>
          </cell>
          <cell r="M28">
            <v>21</v>
          </cell>
          <cell r="N28">
            <v>22</v>
          </cell>
          <cell r="O28">
            <v>21</v>
          </cell>
          <cell r="P28">
            <v>22</v>
          </cell>
        </row>
        <row r="29">
          <cell r="C29" t="str">
            <v>Tory Burch</v>
          </cell>
          <cell r="F29">
            <v>34</v>
          </cell>
          <cell r="G29">
            <v>45</v>
          </cell>
          <cell r="H29">
            <v>39</v>
          </cell>
          <cell r="I29">
            <v>38</v>
          </cell>
          <cell r="J29">
            <v>37</v>
          </cell>
          <cell r="K29">
            <v>52</v>
          </cell>
          <cell r="L29">
            <v>55</v>
          </cell>
          <cell r="M29">
            <v>55</v>
          </cell>
          <cell r="N29">
            <v>59</v>
          </cell>
          <cell r="O29">
            <v>62</v>
          </cell>
          <cell r="P29">
            <v>61</v>
          </cell>
        </row>
        <row r="30">
          <cell r="C30" t="str">
            <v>Michael Kors</v>
          </cell>
          <cell r="F30">
            <v>111</v>
          </cell>
          <cell r="G30">
            <v>111</v>
          </cell>
          <cell r="H30">
            <v>112</v>
          </cell>
          <cell r="I30">
            <v>105</v>
          </cell>
          <cell r="J30">
            <v>108</v>
          </cell>
          <cell r="K30">
            <v>109</v>
          </cell>
          <cell r="L30">
            <v>109</v>
          </cell>
          <cell r="M30">
            <v>112</v>
          </cell>
          <cell r="N30">
            <v>113</v>
          </cell>
          <cell r="O30">
            <v>114</v>
          </cell>
          <cell r="P30">
            <v>109</v>
          </cell>
        </row>
        <row r="31">
          <cell r="C31" t="str">
            <v>MCM</v>
          </cell>
          <cell r="F31">
            <v>53</v>
          </cell>
          <cell r="G31">
            <v>53</v>
          </cell>
          <cell r="H31">
            <v>46</v>
          </cell>
          <cell r="I31">
            <v>56</v>
          </cell>
          <cell r="J31">
            <v>65</v>
          </cell>
          <cell r="K31">
            <v>68</v>
          </cell>
          <cell r="L31">
            <v>67</v>
          </cell>
          <cell r="M31">
            <v>60</v>
          </cell>
          <cell r="N31">
            <v>60</v>
          </cell>
          <cell r="O31">
            <v>60</v>
          </cell>
          <cell r="P31">
            <v>59</v>
          </cell>
        </row>
        <row r="32">
          <cell r="C32" t="str">
            <v>CharlesKeith</v>
          </cell>
          <cell r="D32"/>
          <cell r="E32"/>
          <cell r="F32">
            <v>224</v>
          </cell>
          <cell r="G32">
            <v>262</v>
          </cell>
          <cell r="H32">
            <v>273</v>
          </cell>
          <cell r="I32">
            <v>271</v>
          </cell>
          <cell r="J32">
            <v>265</v>
          </cell>
          <cell r="K32">
            <v>263</v>
          </cell>
          <cell r="L32">
            <v>277</v>
          </cell>
          <cell r="M32">
            <v>272</v>
          </cell>
          <cell r="N32">
            <v>268</v>
          </cell>
          <cell r="O32">
            <v>263</v>
          </cell>
          <cell r="P32">
            <v>257</v>
          </cell>
        </row>
        <row r="33">
          <cell r="C33" t="str">
            <v>Accessible Luxury</v>
          </cell>
          <cell r="F33">
            <v>541</v>
          </cell>
          <cell r="G33">
            <v>587</v>
          </cell>
          <cell r="H33">
            <v>572</v>
          </cell>
          <cell r="I33">
            <v>579</v>
          </cell>
          <cell r="J33">
            <v>589</v>
          </cell>
          <cell r="K33">
            <v>606</v>
          </cell>
          <cell r="L33">
            <v>624</v>
          </cell>
          <cell r="M33">
            <v>616</v>
          </cell>
          <cell r="N33">
            <v>621</v>
          </cell>
          <cell r="O33">
            <v>612</v>
          </cell>
          <cell r="P33">
            <v>601</v>
          </cell>
        </row>
        <row r="34">
          <cell r="C34"/>
          <cell r="D34"/>
          <cell r="E34"/>
          <cell r="F34"/>
          <cell r="H34"/>
          <cell r="I34"/>
          <cell r="J34"/>
          <cell r="K34"/>
          <cell r="L34"/>
          <cell r="M34"/>
          <cell r="N34"/>
          <cell r="O34"/>
          <cell r="P34"/>
        </row>
        <row r="35">
          <cell r="C35" t="str">
            <v>Hugo Boss</v>
          </cell>
          <cell r="D35"/>
          <cell r="E35"/>
          <cell r="F35">
            <v>102</v>
          </cell>
          <cell r="G35">
            <v>116</v>
          </cell>
          <cell r="H35">
            <v>116</v>
          </cell>
          <cell r="I35">
            <v>121</v>
          </cell>
          <cell r="J35">
            <v>122</v>
          </cell>
          <cell r="K35">
            <v>122</v>
          </cell>
          <cell r="L35">
            <v>115</v>
          </cell>
          <cell r="M35">
            <v>116</v>
          </cell>
          <cell r="N35">
            <v>114</v>
          </cell>
          <cell r="O35">
            <v>117</v>
          </cell>
          <cell r="P35">
            <v>114</v>
          </cell>
        </row>
        <row r="36">
          <cell r="C36" t="str">
            <v>Men's</v>
          </cell>
          <cell r="D36"/>
          <cell r="E36"/>
          <cell r="F36">
            <v>102</v>
          </cell>
          <cell r="G36">
            <v>116</v>
          </cell>
          <cell r="H36">
            <v>116</v>
          </cell>
          <cell r="I36">
            <v>121</v>
          </cell>
          <cell r="J36">
            <v>122</v>
          </cell>
          <cell r="K36">
            <v>122</v>
          </cell>
          <cell r="L36">
            <v>115</v>
          </cell>
          <cell r="M36">
            <v>116</v>
          </cell>
          <cell r="N36">
            <v>114</v>
          </cell>
          <cell r="O36">
            <v>117</v>
          </cell>
          <cell r="P36">
            <v>114</v>
          </cell>
        </row>
        <row r="37">
          <cell r="C37"/>
          <cell r="D37"/>
          <cell r="E37"/>
          <cell r="F37"/>
          <cell r="H37"/>
          <cell r="I37"/>
          <cell r="J37"/>
          <cell r="K37"/>
          <cell r="L37"/>
          <cell r="M37"/>
          <cell r="N37"/>
          <cell r="O37"/>
          <cell r="P37"/>
        </row>
        <row r="38">
          <cell r="C38" t="str">
            <v>AcneStudio</v>
          </cell>
          <cell r="F38">
            <v>9</v>
          </cell>
          <cell r="G38">
            <v>9</v>
          </cell>
          <cell r="H38">
            <v>10</v>
          </cell>
          <cell r="I38">
            <v>10</v>
          </cell>
          <cell r="J38">
            <v>10</v>
          </cell>
          <cell r="K38">
            <v>10</v>
          </cell>
          <cell r="L38">
            <v>11</v>
          </cell>
          <cell r="M38">
            <v>11</v>
          </cell>
          <cell r="N38">
            <v>12</v>
          </cell>
          <cell r="O38">
            <v>12</v>
          </cell>
          <cell r="P38">
            <v>14</v>
          </cell>
        </row>
        <row r="39">
          <cell r="C39" t="str">
            <v>Sandro</v>
          </cell>
          <cell r="F39">
            <v>66</v>
          </cell>
          <cell r="G39">
            <v>74</v>
          </cell>
          <cell r="H39">
            <v>93</v>
          </cell>
          <cell r="I39">
            <v>96</v>
          </cell>
          <cell r="J39">
            <v>99</v>
          </cell>
          <cell r="K39">
            <v>97</v>
          </cell>
          <cell r="L39">
            <v>80</v>
          </cell>
          <cell r="M39">
            <v>80</v>
          </cell>
          <cell r="N39">
            <v>81</v>
          </cell>
          <cell r="O39">
            <v>83</v>
          </cell>
          <cell r="P39">
            <v>81</v>
          </cell>
        </row>
        <row r="40">
          <cell r="C40" t="str">
            <v>Maje</v>
          </cell>
          <cell r="D40"/>
          <cell r="E40"/>
          <cell r="F40">
            <v>66</v>
          </cell>
          <cell r="G40">
            <v>67</v>
          </cell>
          <cell r="H40">
            <v>79</v>
          </cell>
          <cell r="I40">
            <v>82</v>
          </cell>
          <cell r="J40">
            <v>86</v>
          </cell>
          <cell r="K40">
            <v>84</v>
          </cell>
          <cell r="L40">
            <v>76</v>
          </cell>
          <cell r="M40">
            <v>76</v>
          </cell>
          <cell r="N40">
            <v>78</v>
          </cell>
          <cell r="O40">
            <v>76</v>
          </cell>
          <cell r="P40">
            <v>77</v>
          </cell>
        </row>
        <row r="41">
          <cell r="C41" t="str">
            <v>RTW</v>
          </cell>
          <cell r="D41"/>
          <cell r="E41"/>
          <cell r="F41">
            <v>141</v>
          </cell>
          <cell r="G41">
            <v>150</v>
          </cell>
          <cell r="H41">
            <v>182</v>
          </cell>
          <cell r="I41">
            <v>188</v>
          </cell>
          <cell r="J41">
            <v>195</v>
          </cell>
          <cell r="K41">
            <v>191</v>
          </cell>
          <cell r="L41">
            <v>167</v>
          </cell>
          <cell r="M41">
            <v>167</v>
          </cell>
          <cell r="N41">
            <v>171</v>
          </cell>
          <cell r="O41">
            <v>171</v>
          </cell>
          <cell r="P41">
            <v>172</v>
          </cell>
        </row>
        <row r="42">
          <cell r="C42" t="str">
            <v xml:space="preserve">Competitors Total </v>
          </cell>
          <cell r="D42"/>
          <cell r="E42"/>
          <cell r="F42"/>
          <cell r="G42"/>
          <cell r="H42"/>
          <cell r="I42"/>
          <cell r="J42"/>
          <cell r="K42"/>
          <cell r="L42"/>
          <cell r="M42"/>
          <cell r="N42"/>
          <cell r="O42"/>
          <cell r="P42"/>
        </row>
        <row r="43">
          <cell r="C43"/>
          <cell r="D43"/>
          <cell r="E43"/>
          <cell r="F43"/>
          <cell r="H43"/>
          <cell r="I43"/>
          <cell r="J43"/>
          <cell r="K43"/>
          <cell r="L43"/>
          <cell r="M43"/>
          <cell r="N43"/>
          <cell r="O43"/>
          <cell r="P43"/>
        </row>
        <row r="44">
          <cell r="C44" t="str">
            <v>Competitor excl. Big Three</v>
          </cell>
          <cell r="D44"/>
          <cell r="E44"/>
          <cell r="F44"/>
          <cell r="G44"/>
          <cell r="H44"/>
          <cell r="I44"/>
          <cell r="J44"/>
          <cell r="K44"/>
          <cell r="L44"/>
          <cell r="M44"/>
          <cell r="N44"/>
          <cell r="O44"/>
          <cell r="P44"/>
        </row>
        <row r="45">
          <cell r="C45" t="str">
            <v>Lancome</v>
          </cell>
          <cell r="H45"/>
          <cell r="I45"/>
          <cell r="J45"/>
          <cell r="K45"/>
          <cell r="L45"/>
          <cell r="M45"/>
          <cell r="N45"/>
          <cell r="O45"/>
          <cell r="P45"/>
        </row>
        <row r="46">
          <cell r="J46"/>
          <cell r="K46"/>
          <cell r="L46"/>
          <cell r="M46"/>
          <cell r="N46"/>
          <cell r="O46"/>
          <cell r="P46"/>
        </row>
        <row r="47">
          <cell r="F47"/>
          <cell r="G47"/>
          <cell r="H47"/>
          <cell r="I47"/>
          <cell r="J47"/>
          <cell r="K47"/>
          <cell r="L47"/>
          <cell r="M47"/>
          <cell r="N47"/>
          <cell r="O47"/>
          <cell r="P47"/>
        </row>
        <row r="48">
          <cell r="F48"/>
          <cell r="G48"/>
          <cell r="H48"/>
          <cell r="I48"/>
          <cell r="J48"/>
          <cell r="K48"/>
          <cell r="L48"/>
          <cell r="M48"/>
          <cell r="N48"/>
          <cell r="O48"/>
          <cell r="P48"/>
        </row>
        <row r="49">
          <cell r="C49"/>
          <cell r="D49"/>
          <cell r="E49"/>
          <cell r="F49"/>
          <cell r="G49"/>
          <cell r="H49"/>
          <cell r="I49"/>
          <cell r="J49"/>
          <cell r="K49"/>
          <cell r="L49"/>
          <cell r="M49"/>
          <cell r="N49"/>
          <cell r="O49"/>
          <cell r="P49"/>
        </row>
        <row r="50">
          <cell r="C50" t="str">
            <v>MCM comp +112% is mainly driven by BJ SKP anniversary, Apr store sales seeing 10 times of previous month.</v>
          </cell>
          <cell r="D50"/>
          <cell r="E50"/>
          <cell r="F50"/>
        </row>
        <row r="51">
          <cell r="C51"/>
          <cell r="D51"/>
          <cell r="E51"/>
          <cell r="F51"/>
        </row>
        <row r="55">
          <cell r="C55"/>
          <cell r="D55"/>
          <cell r="E55"/>
          <cell r="F55"/>
          <cell r="G55"/>
          <cell r="H55"/>
          <cell r="I55"/>
          <cell r="J55"/>
          <cell r="K55"/>
          <cell r="L55"/>
          <cell r="M55"/>
          <cell r="N55"/>
          <cell r="O55"/>
          <cell r="P55"/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P"/>
      <sheetName val="Sheet1"/>
    </sheetNames>
    <sheetDataSet>
      <sheetData sheetId="0" refreshError="1">
        <row r="5">
          <cell r="D5" t="str">
            <v>Store count 
FY21 Q1</v>
          </cell>
          <cell r="E5" t="str">
            <v>Store count 
FY21 Q2</v>
          </cell>
          <cell r="F5" t="str">
            <v>Store count 
FY21 Q3</v>
          </cell>
          <cell r="G5" t="str">
            <v>Store count 
FY21 Q4</v>
          </cell>
          <cell r="H5" t="str">
            <v>Store Count 
FY22 Q1</v>
          </cell>
          <cell r="I5" t="str">
            <v>Store count
FY22 Q2</v>
          </cell>
          <cell r="J5" t="str">
            <v>Store count
FY22 Q3</v>
          </cell>
          <cell r="K5" t="str">
            <v>Store count
FY22 Q4</v>
          </cell>
          <cell r="L5" t="str">
            <v>Store count
FY23 Q1</v>
          </cell>
          <cell r="M5" t="str">
            <v>Store Count
FY23 Q2</v>
          </cell>
          <cell r="N5" t="str">
            <v>Store Count
FY23 Q3</v>
          </cell>
          <cell r="O5" t="str">
            <v>Store Count
FY23 Q4</v>
          </cell>
          <cell r="P5" t="str">
            <v>Store Count FY24 Q1</v>
          </cell>
          <cell r="Q5" t="str">
            <v>Store Count
FY24 Q2</v>
          </cell>
        </row>
        <row r="7">
          <cell r="C7" t="str">
            <v>Competitors</v>
          </cell>
        </row>
        <row r="8">
          <cell r="C8" t="str">
            <v>LV</v>
          </cell>
          <cell r="F8">
            <v>43</v>
          </cell>
          <cell r="G8">
            <v>56</v>
          </cell>
          <cell r="H8">
            <v>57</v>
          </cell>
          <cell r="I8">
            <v>58</v>
          </cell>
          <cell r="J8">
            <v>60</v>
          </cell>
          <cell r="K8">
            <v>60</v>
          </cell>
          <cell r="L8">
            <v>61</v>
          </cell>
          <cell r="M8">
            <v>64</v>
          </cell>
          <cell r="N8">
            <v>64</v>
          </cell>
          <cell r="O8">
            <v>64</v>
          </cell>
          <cell r="P8">
            <v>64</v>
          </cell>
          <cell r="Q8">
            <v>65</v>
          </cell>
        </row>
        <row r="9">
          <cell r="C9" t="str">
            <v>Gucci</v>
          </cell>
          <cell r="F9">
            <v>51</v>
          </cell>
          <cell r="G9">
            <v>58</v>
          </cell>
          <cell r="H9">
            <v>59</v>
          </cell>
          <cell r="I9">
            <v>70</v>
          </cell>
          <cell r="J9">
            <v>74</v>
          </cell>
          <cell r="K9">
            <v>73</v>
          </cell>
          <cell r="L9">
            <v>76</v>
          </cell>
          <cell r="M9">
            <v>81</v>
          </cell>
          <cell r="N9">
            <v>79</v>
          </cell>
          <cell r="O9">
            <v>80</v>
          </cell>
          <cell r="P9">
            <v>85</v>
          </cell>
          <cell r="Q9">
            <v>85</v>
          </cell>
        </row>
        <row r="10">
          <cell r="C10" t="str">
            <v>Dior</v>
          </cell>
          <cell r="F10">
            <v>26</v>
          </cell>
          <cell r="G10">
            <v>34</v>
          </cell>
          <cell r="H10">
            <v>37</v>
          </cell>
          <cell r="I10">
            <v>30</v>
          </cell>
          <cell r="J10">
            <v>32</v>
          </cell>
          <cell r="K10">
            <v>32</v>
          </cell>
          <cell r="L10">
            <v>32</v>
          </cell>
          <cell r="M10">
            <v>37</v>
          </cell>
          <cell r="N10">
            <v>37</v>
          </cell>
          <cell r="O10">
            <v>37</v>
          </cell>
          <cell r="P10">
            <v>37</v>
          </cell>
          <cell r="Q10">
            <v>39</v>
          </cell>
        </row>
        <row r="11">
          <cell r="C11" t="str">
            <v>Big Three Luxury Brands</v>
          </cell>
          <cell r="F11">
            <v>120</v>
          </cell>
          <cell r="G11">
            <v>148</v>
          </cell>
          <cell r="H11">
            <v>153</v>
          </cell>
          <cell r="I11">
            <v>158</v>
          </cell>
          <cell r="J11">
            <v>166</v>
          </cell>
          <cell r="K11">
            <v>165</v>
          </cell>
          <cell r="L11">
            <v>169</v>
          </cell>
          <cell r="M11">
            <v>182</v>
          </cell>
          <cell r="N11">
            <v>180</v>
          </cell>
          <cell r="O11">
            <v>181</v>
          </cell>
          <cell r="P11">
            <v>186</v>
          </cell>
          <cell r="Q11">
            <v>189</v>
          </cell>
        </row>
        <row r="13">
          <cell r="C13" t="str">
            <v>Chanel</v>
          </cell>
          <cell r="F13">
            <v>15</v>
          </cell>
          <cell r="G13">
            <v>15</v>
          </cell>
          <cell r="H13">
            <v>15</v>
          </cell>
          <cell r="I13">
            <v>15</v>
          </cell>
          <cell r="J13">
            <v>15</v>
          </cell>
          <cell r="K13">
            <v>15</v>
          </cell>
          <cell r="L13">
            <v>15</v>
          </cell>
          <cell r="M13">
            <v>16</v>
          </cell>
          <cell r="N13">
            <v>16</v>
          </cell>
          <cell r="O13">
            <v>16</v>
          </cell>
          <cell r="P13">
            <v>16</v>
          </cell>
          <cell r="Q13">
            <v>17</v>
          </cell>
        </row>
        <row r="14">
          <cell r="C14" t="str">
            <v>Burberry</v>
          </cell>
          <cell r="F14">
            <v>62</v>
          </cell>
          <cell r="G14">
            <v>61</v>
          </cell>
          <cell r="H14">
            <v>73</v>
          </cell>
          <cell r="I14">
            <v>70</v>
          </cell>
          <cell r="J14">
            <v>70</v>
          </cell>
          <cell r="K14">
            <v>65</v>
          </cell>
          <cell r="L14">
            <v>67</v>
          </cell>
          <cell r="M14">
            <v>65</v>
          </cell>
          <cell r="N14">
            <v>65</v>
          </cell>
          <cell r="O14">
            <v>70</v>
          </cell>
          <cell r="P14">
            <v>71</v>
          </cell>
          <cell r="Q14">
            <v>70</v>
          </cell>
        </row>
        <row r="15">
          <cell r="C15" t="str">
            <v>Prada</v>
          </cell>
          <cell r="F15">
            <v>35</v>
          </cell>
          <cell r="G15">
            <v>36</v>
          </cell>
          <cell r="H15">
            <v>36</v>
          </cell>
          <cell r="I15">
            <v>36</v>
          </cell>
          <cell r="J15">
            <v>37</v>
          </cell>
          <cell r="K15">
            <v>38</v>
          </cell>
          <cell r="L15">
            <v>36</v>
          </cell>
          <cell r="M15">
            <v>38</v>
          </cell>
          <cell r="N15">
            <v>34</v>
          </cell>
          <cell r="O15">
            <v>38</v>
          </cell>
          <cell r="P15">
            <v>37</v>
          </cell>
          <cell r="Q15">
            <v>36</v>
          </cell>
        </row>
        <row r="16">
          <cell r="C16" t="str">
            <v>Hermes</v>
          </cell>
          <cell r="F16">
            <v>28</v>
          </cell>
          <cell r="G16">
            <v>26</v>
          </cell>
          <cell r="H16">
            <v>26</v>
          </cell>
          <cell r="I16">
            <v>29</v>
          </cell>
          <cell r="J16">
            <v>29</v>
          </cell>
          <cell r="K16">
            <v>29</v>
          </cell>
          <cell r="L16">
            <v>29</v>
          </cell>
          <cell r="M16">
            <v>29</v>
          </cell>
          <cell r="N16">
            <v>29</v>
          </cell>
          <cell r="O16">
            <v>30</v>
          </cell>
          <cell r="P16">
            <v>31</v>
          </cell>
          <cell r="Q16">
            <v>32</v>
          </cell>
        </row>
        <row r="17">
          <cell r="C17" t="str">
            <v>Bottega Veneta</v>
          </cell>
          <cell r="F17">
            <v>42</v>
          </cell>
          <cell r="G17">
            <v>38</v>
          </cell>
          <cell r="H17">
            <v>37</v>
          </cell>
          <cell r="I17">
            <v>41</v>
          </cell>
          <cell r="J17">
            <v>41</v>
          </cell>
          <cell r="K17">
            <v>42</v>
          </cell>
          <cell r="L17">
            <v>41</v>
          </cell>
          <cell r="M17">
            <v>44</v>
          </cell>
          <cell r="N17">
            <v>46</v>
          </cell>
          <cell r="O17">
            <v>46</v>
          </cell>
          <cell r="P17">
            <v>47</v>
          </cell>
          <cell r="Q17">
            <v>47</v>
          </cell>
        </row>
        <row r="18">
          <cell r="C18" t="str">
            <v>Balenciaga</v>
          </cell>
          <cell r="F18">
            <v>33</v>
          </cell>
          <cell r="G18">
            <v>33</v>
          </cell>
          <cell r="H18">
            <v>34</v>
          </cell>
          <cell r="I18">
            <v>36</v>
          </cell>
          <cell r="J18">
            <v>38</v>
          </cell>
          <cell r="K18">
            <v>38</v>
          </cell>
          <cell r="L18">
            <v>43</v>
          </cell>
          <cell r="M18">
            <v>45</v>
          </cell>
          <cell r="N18">
            <v>45</v>
          </cell>
          <cell r="O18">
            <v>45</v>
          </cell>
          <cell r="P18">
            <v>47</v>
          </cell>
          <cell r="Q18">
            <v>46</v>
          </cell>
        </row>
        <row r="19">
          <cell r="C19" t="str">
            <v>Fendi</v>
          </cell>
          <cell r="F19">
            <v>26</v>
          </cell>
          <cell r="G19">
            <v>28</v>
          </cell>
          <cell r="H19">
            <v>28</v>
          </cell>
          <cell r="I19">
            <v>37</v>
          </cell>
          <cell r="J19">
            <v>37</v>
          </cell>
          <cell r="K19">
            <v>38</v>
          </cell>
          <cell r="L19">
            <v>38</v>
          </cell>
          <cell r="M19">
            <v>40</v>
          </cell>
          <cell r="N19">
            <v>41</v>
          </cell>
          <cell r="O19">
            <v>41</v>
          </cell>
          <cell r="P19">
            <v>43</v>
          </cell>
          <cell r="Q19">
            <v>43</v>
          </cell>
        </row>
        <row r="20">
          <cell r="C20" t="str">
            <v>Saint Laurent</v>
          </cell>
          <cell r="F20">
            <v>34</v>
          </cell>
          <cell r="G20">
            <v>42</v>
          </cell>
          <cell r="H20">
            <v>43</v>
          </cell>
          <cell r="I20">
            <v>43</v>
          </cell>
          <cell r="J20">
            <v>46</v>
          </cell>
          <cell r="K20">
            <v>45</v>
          </cell>
          <cell r="L20">
            <v>44</v>
          </cell>
          <cell r="M20">
            <v>46</v>
          </cell>
          <cell r="N20">
            <v>45</v>
          </cell>
          <cell r="O20">
            <v>45</v>
          </cell>
          <cell r="P20">
            <v>45</v>
          </cell>
          <cell r="Q20">
            <v>46</v>
          </cell>
        </row>
        <row r="21">
          <cell r="C21" t="str">
            <v>Valentino</v>
          </cell>
          <cell r="F21">
            <v>25</v>
          </cell>
          <cell r="G21">
            <v>31</v>
          </cell>
          <cell r="H21">
            <v>31</v>
          </cell>
          <cell r="I21">
            <v>30</v>
          </cell>
          <cell r="J21">
            <v>32</v>
          </cell>
          <cell r="K21">
            <v>27</v>
          </cell>
          <cell r="L21">
            <v>30</v>
          </cell>
          <cell r="M21">
            <v>32</v>
          </cell>
          <cell r="N21">
            <v>31</v>
          </cell>
          <cell r="O21">
            <v>32</v>
          </cell>
          <cell r="P21">
            <v>32</v>
          </cell>
          <cell r="Q21">
            <v>32</v>
          </cell>
        </row>
        <row r="22">
          <cell r="C22" t="str">
            <v>Stuart Weitzman</v>
          </cell>
          <cell r="F22">
            <v>48</v>
          </cell>
          <cell r="G22">
            <v>52</v>
          </cell>
          <cell r="H22">
            <v>54</v>
          </cell>
          <cell r="I22">
            <v>45</v>
          </cell>
          <cell r="J22">
            <v>45</v>
          </cell>
          <cell r="K22">
            <v>46</v>
          </cell>
          <cell r="L22">
            <v>46</v>
          </cell>
          <cell r="M22">
            <v>47</v>
          </cell>
          <cell r="N22">
            <v>49</v>
          </cell>
          <cell r="O22">
            <v>57</v>
          </cell>
          <cell r="P22">
            <v>52</v>
          </cell>
          <cell r="Q22">
            <v>45</v>
          </cell>
        </row>
        <row r="23">
          <cell r="C23" t="str">
            <v>Loewe</v>
          </cell>
          <cell r="K23">
            <v>30</v>
          </cell>
          <cell r="L23">
            <v>30</v>
          </cell>
          <cell r="M23">
            <v>31</v>
          </cell>
          <cell r="N23">
            <v>31</v>
          </cell>
          <cell r="O23">
            <v>29</v>
          </cell>
          <cell r="P23">
            <v>30</v>
          </cell>
          <cell r="Q23">
            <v>30</v>
          </cell>
        </row>
        <row r="24">
          <cell r="C24" t="str">
            <v>Other Luxury</v>
          </cell>
          <cell r="F24">
            <v>348</v>
          </cell>
          <cell r="G24">
            <v>362</v>
          </cell>
          <cell r="H24">
            <v>377</v>
          </cell>
          <cell r="I24">
            <v>382</v>
          </cell>
          <cell r="J24">
            <v>390</v>
          </cell>
          <cell r="K24">
            <v>413</v>
          </cell>
          <cell r="L24">
            <v>419</v>
          </cell>
          <cell r="M24">
            <v>433</v>
          </cell>
          <cell r="N24">
            <v>432</v>
          </cell>
          <cell r="O24">
            <v>449</v>
          </cell>
          <cell r="P24">
            <v>451</v>
          </cell>
          <cell r="Q24">
            <v>444</v>
          </cell>
        </row>
        <row r="26">
          <cell r="C26" t="str">
            <v>Longchamp</v>
          </cell>
          <cell r="F26">
            <v>21</v>
          </cell>
          <cell r="G26">
            <v>25</v>
          </cell>
          <cell r="H26">
            <v>26</v>
          </cell>
          <cell r="I26">
            <v>27</v>
          </cell>
          <cell r="J26">
            <v>27</v>
          </cell>
          <cell r="K26">
            <v>28</v>
          </cell>
          <cell r="L26">
            <v>31</v>
          </cell>
          <cell r="M26">
            <v>33</v>
          </cell>
          <cell r="N26">
            <v>34</v>
          </cell>
          <cell r="O26">
            <v>35</v>
          </cell>
          <cell r="P26">
            <v>35</v>
          </cell>
          <cell r="Q26">
            <v>35</v>
          </cell>
        </row>
        <row r="27">
          <cell r="C27" t="str">
            <v>Furla</v>
          </cell>
          <cell r="F27">
            <v>67</v>
          </cell>
          <cell r="G27">
            <v>62</v>
          </cell>
          <cell r="H27">
            <v>50</v>
          </cell>
          <cell r="I27">
            <v>57</v>
          </cell>
          <cell r="J27">
            <v>63</v>
          </cell>
          <cell r="K27">
            <v>63</v>
          </cell>
          <cell r="L27">
            <v>64</v>
          </cell>
          <cell r="M27">
            <v>63</v>
          </cell>
          <cell r="N27">
            <v>65</v>
          </cell>
          <cell r="O27">
            <v>57</v>
          </cell>
          <cell r="P27">
            <v>58</v>
          </cell>
          <cell r="Q27">
            <v>58</v>
          </cell>
        </row>
        <row r="28">
          <cell r="C28" t="str">
            <v>Kate Spade</v>
          </cell>
          <cell r="F28">
            <v>31</v>
          </cell>
          <cell r="G28">
            <v>29</v>
          </cell>
          <cell r="H28">
            <v>26</v>
          </cell>
          <cell r="I28">
            <v>25</v>
          </cell>
          <cell r="J28">
            <v>24</v>
          </cell>
          <cell r="K28">
            <v>23</v>
          </cell>
          <cell r="L28">
            <v>21</v>
          </cell>
          <cell r="M28">
            <v>21</v>
          </cell>
          <cell r="N28">
            <v>22</v>
          </cell>
          <cell r="O28">
            <v>21</v>
          </cell>
          <cell r="P28">
            <v>22</v>
          </cell>
          <cell r="Q28">
            <v>22</v>
          </cell>
        </row>
        <row r="29">
          <cell r="C29" t="str">
            <v>Tory Burch</v>
          </cell>
          <cell r="F29">
            <v>34</v>
          </cell>
          <cell r="G29">
            <v>45</v>
          </cell>
          <cell r="H29">
            <v>39</v>
          </cell>
          <cell r="I29">
            <v>38</v>
          </cell>
          <cell r="J29">
            <v>37</v>
          </cell>
          <cell r="K29">
            <v>52</v>
          </cell>
          <cell r="L29">
            <v>55</v>
          </cell>
          <cell r="M29">
            <v>55</v>
          </cell>
          <cell r="N29">
            <v>59</v>
          </cell>
          <cell r="O29">
            <v>62</v>
          </cell>
          <cell r="P29">
            <v>61</v>
          </cell>
          <cell r="Q29">
            <v>65</v>
          </cell>
        </row>
        <row r="30">
          <cell r="C30" t="str">
            <v>Michael Kors</v>
          </cell>
          <cell r="F30">
            <v>111</v>
          </cell>
          <cell r="G30">
            <v>111</v>
          </cell>
          <cell r="H30">
            <v>112</v>
          </cell>
          <cell r="I30">
            <v>105</v>
          </cell>
          <cell r="J30">
            <v>108</v>
          </cell>
          <cell r="K30">
            <v>109</v>
          </cell>
          <cell r="L30">
            <v>109</v>
          </cell>
          <cell r="M30">
            <v>112</v>
          </cell>
          <cell r="N30">
            <v>113</v>
          </cell>
          <cell r="O30">
            <v>114</v>
          </cell>
          <cell r="P30">
            <v>109</v>
          </cell>
          <cell r="Q30">
            <v>109</v>
          </cell>
        </row>
        <row r="31">
          <cell r="C31" t="str">
            <v>MCM</v>
          </cell>
          <cell r="F31">
            <v>53</v>
          </cell>
          <cell r="G31">
            <v>53</v>
          </cell>
          <cell r="H31">
            <v>46</v>
          </cell>
          <cell r="I31">
            <v>56</v>
          </cell>
          <cell r="J31">
            <v>65</v>
          </cell>
          <cell r="K31">
            <v>68</v>
          </cell>
          <cell r="L31">
            <v>67</v>
          </cell>
          <cell r="M31">
            <v>60</v>
          </cell>
          <cell r="N31">
            <v>60</v>
          </cell>
          <cell r="O31">
            <v>60</v>
          </cell>
          <cell r="P31">
            <v>59</v>
          </cell>
          <cell r="Q31">
            <v>59</v>
          </cell>
        </row>
        <row r="32">
          <cell r="C32" t="str">
            <v>CharlesKeith</v>
          </cell>
          <cell r="F32">
            <v>224</v>
          </cell>
          <cell r="G32">
            <v>262</v>
          </cell>
          <cell r="H32">
            <v>273</v>
          </cell>
          <cell r="I32">
            <v>271</v>
          </cell>
          <cell r="J32">
            <v>265</v>
          </cell>
          <cell r="K32">
            <v>263</v>
          </cell>
          <cell r="L32">
            <v>277</v>
          </cell>
          <cell r="M32">
            <v>272</v>
          </cell>
          <cell r="N32">
            <v>268</v>
          </cell>
          <cell r="O32">
            <v>263</v>
          </cell>
          <cell r="P32">
            <v>257</v>
          </cell>
          <cell r="Q32">
            <v>258</v>
          </cell>
        </row>
        <row r="33">
          <cell r="C33" t="str">
            <v>Accessible Luxury</v>
          </cell>
          <cell r="F33">
            <v>541</v>
          </cell>
          <cell r="G33">
            <v>587</v>
          </cell>
          <cell r="H33">
            <v>572</v>
          </cell>
          <cell r="I33">
            <v>579</v>
          </cell>
          <cell r="J33">
            <v>589</v>
          </cell>
          <cell r="K33">
            <v>606</v>
          </cell>
          <cell r="L33">
            <v>624</v>
          </cell>
          <cell r="M33">
            <v>616</v>
          </cell>
          <cell r="N33">
            <v>621</v>
          </cell>
          <cell r="O33">
            <v>612</v>
          </cell>
          <cell r="P33">
            <v>601</v>
          </cell>
          <cell r="Q33">
            <v>606</v>
          </cell>
        </row>
        <row r="35">
          <cell r="C35" t="str">
            <v>Hugo Boss</v>
          </cell>
          <cell r="F35">
            <v>102</v>
          </cell>
          <cell r="G35">
            <v>116</v>
          </cell>
          <cell r="H35">
            <v>116</v>
          </cell>
          <cell r="I35">
            <v>121</v>
          </cell>
          <cell r="J35">
            <v>122</v>
          </cell>
          <cell r="K35">
            <v>122</v>
          </cell>
          <cell r="L35">
            <v>115</v>
          </cell>
          <cell r="M35">
            <v>116</v>
          </cell>
          <cell r="N35">
            <v>114</v>
          </cell>
          <cell r="O35">
            <v>117</v>
          </cell>
          <cell r="P35">
            <v>114</v>
          </cell>
          <cell r="Q35">
            <v>112</v>
          </cell>
        </row>
        <row r="36">
          <cell r="C36" t="str">
            <v>Men's</v>
          </cell>
          <cell r="F36">
            <v>102</v>
          </cell>
          <cell r="G36">
            <v>116</v>
          </cell>
          <cell r="H36">
            <v>116</v>
          </cell>
          <cell r="I36">
            <v>121</v>
          </cell>
          <cell r="J36">
            <v>122</v>
          </cell>
          <cell r="K36">
            <v>122</v>
          </cell>
          <cell r="L36">
            <v>115</v>
          </cell>
          <cell r="M36">
            <v>116</v>
          </cell>
          <cell r="N36">
            <v>114</v>
          </cell>
          <cell r="O36">
            <v>117</v>
          </cell>
          <cell r="P36">
            <v>114</v>
          </cell>
          <cell r="Q36">
            <v>112</v>
          </cell>
        </row>
        <row r="38">
          <cell r="C38" t="str">
            <v>AcneStudio</v>
          </cell>
          <cell r="F38">
            <v>9</v>
          </cell>
          <cell r="G38">
            <v>9</v>
          </cell>
          <cell r="H38">
            <v>10</v>
          </cell>
          <cell r="I38">
            <v>10</v>
          </cell>
          <cell r="J38">
            <v>10</v>
          </cell>
          <cell r="K38">
            <v>10</v>
          </cell>
          <cell r="L38">
            <v>11</v>
          </cell>
          <cell r="M38">
            <v>11</v>
          </cell>
          <cell r="N38">
            <v>12</v>
          </cell>
          <cell r="O38">
            <v>12</v>
          </cell>
          <cell r="P38">
            <v>14</v>
          </cell>
          <cell r="Q38">
            <v>15</v>
          </cell>
        </row>
        <row r="39">
          <cell r="C39" t="str">
            <v>Sandro</v>
          </cell>
          <cell r="F39">
            <v>66</v>
          </cell>
          <cell r="G39">
            <v>74</v>
          </cell>
          <cell r="H39">
            <v>93</v>
          </cell>
          <cell r="I39">
            <v>96</v>
          </cell>
          <cell r="J39">
            <v>99</v>
          </cell>
          <cell r="K39">
            <v>97</v>
          </cell>
          <cell r="L39">
            <v>80</v>
          </cell>
          <cell r="M39">
            <v>80</v>
          </cell>
          <cell r="N39">
            <v>81</v>
          </cell>
          <cell r="O39">
            <v>83</v>
          </cell>
          <cell r="P39">
            <v>81</v>
          </cell>
          <cell r="Q39">
            <v>81</v>
          </cell>
        </row>
        <row r="40">
          <cell r="C40" t="str">
            <v>Maje</v>
          </cell>
          <cell r="F40">
            <v>66</v>
          </cell>
          <cell r="G40">
            <v>67</v>
          </cell>
          <cell r="H40">
            <v>79</v>
          </cell>
          <cell r="I40">
            <v>82</v>
          </cell>
          <cell r="J40">
            <v>86</v>
          </cell>
          <cell r="K40">
            <v>84</v>
          </cell>
          <cell r="L40">
            <v>76</v>
          </cell>
          <cell r="M40">
            <v>76</v>
          </cell>
          <cell r="N40">
            <v>78</v>
          </cell>
          <cell r="O40">
            <v>76</v>
          </cell>
          <cell r="P40">
            <v>77</v>
          </cell>
          <cell r="Q40">
            <v>77</v>
          </cell>
        </row>
        <row r="41">
          <cell r="C41" t="str">
            <v>RTW</v>
          </cell>
          <cell r="F41">
            <v>141</v>
          </cell>
          <cell r="G41">
            <v>150</v>
          </cell>
          <cell r="H41">
            <v>182</v>
          </cell>
          <cell r="I41">
            <v>188</v>
          </cell>
          <cell r="J41">
            <v>195</v>
          </cell>
          <cell r="K41">
            <v>191</v>
          </cell>
          <cell r="L41">
            <v>167</v>
          </cell>
          <cell r="M41">
            <v>167</v>
          </cell>
          <cell r="N41">
            <v>171</v>
          </cell>
          <cell r="O41">
            <v>171</v>
          </cell>
          <cell r="P41">
            <v>172</v>
          </cell>
          <cell r="Q41">
            <v>173</v>
          </cell>
        </row>
        <row r="42">
          <cell r="C42" t="str">
            <v xml:space="preserve">Competitors Total </v>
          </cell>
        </row>
        <row r="44">
          <cell r="C44" t="str">
            <v>Competitor excl. Big Three</v>
          </cell>
        </row>
        <row r="45">
          <cell r="C45" t="str">
            <v>Lancome</v>
          </cell>
        </row>
        <row r="50">
          <cell r="C50" t="str">
            <v>MCM comp +112% is mainly driven by BJ SKP anniversary, Apr store sales seeing 10 times of previous month.</v>
          </cell>
        </row>
      </sheetData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P"/>
      <sheetName val="Sheet1"/>
    </sheetNames>
    <sheetDataSet>
      <sheetData sheetId="0">
        <row r="1">
          <cell r="C1"/>
          <cell r="D1"/>
          <cell r="E1"/>
          <cell r="F1"/>
          <cell r="G1"/>
          <cell r="J1"/>
          <cell r="K1"/>
          <cell r="L1"/>
          <cell r="M1"/>
          <cell r="N1"/>
          <cell r="O1"/>
          <cell r="P1"/>
          <cell r="Q1"/>
          <cell r="R1"/>
        </row>
        <row r="2">
          <cell r="F2"/>
          <cell r="G2"/>
          <cell r="J2"/>
          <cell r="K2"/>
          <cell r="L2"/>
          <cell r="M2"/>
          <cell r="N2"/>
          <cell r="O2"/>
          <cell r="P2"/>
          <cell r="Q2"/>
          <cell r="R2"/>
        </row>
        <row r="3">
          <cell r="C3"/>
          <cell r="D3"/>
          <cell r="E3"/>
          <cell r="F3"/>
          <cell r="G3"/>
          <cell r="J3"/>
          <cell r="K3"/>
          <cell r="L3"/>
          <cell r="M3"/>
          <cell r="N3"/>
          <cell r="O3"/>
          <cell r="P3"/>
          <cell r="Q3"/>
          <cell r="R3"/>
        </row>
        <row r="4">
          <cell r="C4"/>
          <cell r="D4"/>
          <cell r="E4"/>
          <cell r="F4"/>
          <cell r="G4"/>
          <cell r="J4"/>
          <cell r="K4"/>
          <cell r="L4"/>
          <cell r="M4"/>
          <cell r="N4"/>
          <cell r="O4"/>
          <cell r="P4"/>
          <cell r="Q4"/>
          <cell r="R4"/>
        </row>
        <row r="5">
          <cell r="C5"/>
          <cell r="D5" t="str">
            <v>Store count 
FY21 Q1</v>
          </cell>
          <cell r="E5" t="str">
            <v>Store count 
FY21 Q2</v>
          </cell>
          <cell r="F5" t="str">
            <v>Store count 
FY21 Q3</v>
          </cell>
          <cell r="G5" t="str">
            <v>Store count 
FY21 Q4</v>
          </cell>
          <cell r="H5" t="str">
            <v>Store Count 
FY22 Q1</v>
          </cell>
          <cell r="I5" t="str">
            <v>Store count
FY22 Q2</v>
          </cell>
          <cell r="J5" t="str">
            <v>Store count
FY22 Q3</v>
          </cell>
          <cell r="K5" t="str">
            <v>Store count
FY22 Q4</v>
          </cell>
          <cell r="L5" t="str">
            <v>Store count
FY23 Q1</v>
          </cell>
          <cell r="M5" t="str">
            <v>Store Count
FY23 Q2</v>
          </cell>
          <cell r="N5" t="str">
            <v>Store Count
FY23 Q3</v>
          </cell>
          <cell r="O5" t="str">
            <v>Store Count
FY23 Q4</v>
          </cell>
          <cell r="P5" t="str">
            <v>Store Count FY24 Q1</v>
          </cell>
          <cell r="Q5" t="str">
            <v>Store Count
FY24 Q2</v>
          </cell>
          <cell r="R5" t="str">
            <v>Store Count
FY24 Q3</v>
          </cell>
        </row>
        <row r="6">
          <cell r="F6"/>
          <cell r="H6"/>
          <cell r="I6"/>
          <cell r="J6"/>
          <cell r="K6"/>
          <cell r="L6"/>
          <cell r="M6"/>
          <cell r="N6"/>
          <cell r="O6"/>
          <cell r="P6"/>
          <cell r="Q6"/>
          <cell r="R6"/>
        </row>
        <row r="7">
          <cell r="C7" t="str">
            <v>Competitors</v>
          </cell>
          <cell r="D7"/>
          <cell r="E7"/>
          <cell r="F7"/>
          <cell r="H7"/>
          <cell r="I7"/>
          <cell r="J7"/>
          <cell r="K7"/>
          <cell r="L7"/>
          <cell r="M7"/>
          <cell r="N7"/>
          <cell r="O7"/>
          <cell r="P7"/>
          <cell r="Q7"/>
          <cell r="R7"/>
        </row>
        <row r="8">
          <cell r="C8" t="str">
            <v>LV</v>
          </cell>
          <cell r="F8">
            <v>43</v>
          </cell>
          <cell r="G8">
            <v>56</v>
          </cell>
          <cell r="H8">
            <v>57</v>
          </cell>
          <cell r="I8">
            <v>58</v>
          </cell>
          <cell r="J8">
            <v>60</v>
          </cell>
          <cell r="K8">
            <v>60</v>
          </cell>
          <cell r="L8">
            <v>61</v>
          </cell>
          <cell r="M8">
            <v>64</v>
          </cell>
          <cell r="N8">
            <v>64</v>
          </cell>
          <cell r="O8">
            <v>64</v>
          </cell>
          <cell r="P8">
            <v>64</v>
          </cell>
          <cell r="Q8">
            <v>65</v>
          </cell>
          <cell r="R8">
            <v>67</v>
          </cell>
        </row>
        <row r="9">
          <cell r="C9" t="str">
            <v>Gucci</v>
          </cell>
          <cell r="D9"/>
          <cell r="E9"/>
          <cell r="F9">
            <v>51</v>
          </cell>
          <cell r="G9">
            <v>58</v>
          </cell>
          <cell r="H9">
            <v>59</v>
          </cell>
          <cell r="I9">
            <v>70</v>
          </cell>
          <cell r="J9">
            <v>74</v>
          </cell>
          <cell r="K9">
            <v>73</v>
          </cell>
          <cell r="L9">
            <v>76</v>
          </cell>
          <cell r="M9">
            <v>81</v>
          </cell>
          <cell r="N9">
            <v>79</v>
          </cell>
          <cell r="O9">
            <v>80</v>
          </cell>
          <cell r="P9">
            <v>85</v>
          </cell>
          <cell r="Q9">
            <v>85</v>
          </cell>
          <cell r="R9">
            <v>86</v>
          </cell>
        </row>
        <row r="10">
          <cell r="C10" t="str">
            <v>Dior</v>
          </cell>
          <cell r="D10"/>
          <cell r="E10"/>
          <cell r="F10">
            <v>26</v>
          </cell>
          <cell r="G10">
            <v>34</v>
          </cell>
          <cell r="H10">
            <v>37</v>
          </cell>
          <cell r="I10">
            <v>30</v>
          </cell>
          <cell r="J10">
            <v>32</v>
          </cell>
          <cell r="K10">
            <v>32</v>
          </cell>
          <cell r="L10">
            <v>32</v>
          </cell>
          <cell r="M10">
            <v>37</v>
          </cell>
          <cell r="N10">
            <v>37</v>
          </cell>
          <cell r="O10">
            <v>37</v>
          </cell>
          <cell r="P10">
            <v>37</v>
          </cell>
          <cell r="Q10">
            <v>39</v>
          </cell>
          <cell r="R10">
            <v>40</v>
          </cell>
        </row>
        <row r="11">
          <cell r="C11" t="str">
            <v>Big Three Luxury Brands</v>
          </cell>
          <cell r="F11">
            <v>120</v>
          </cell>
          <cell r="G11">
            <v>148</v>
          </cell>
          <cell r="H11">
            <v>153</v>
          </cell>
          <cell r="I11">
            <v>158</v>
          </cell>
          <cell r="J11">
            <v>166</v>
          </cell>
          <cell r="K11">
            <v>165</v>
          </cell>
          <cell r="L11">
            <v>169</v>
          </cell>
          <cell r="M11">
            <v>182</v>
          </cell>
          <cell r="N11">
            <v>180</v>
          </cell>
          <cell r="O11">
            <v>181</v>
          </cell>
          <cell r="P11">
            <v>186</v>
          </cell>
          <cell r="Q11">
            <v>189</v>
          </cell>
          <cell r="R11">
            <v>193</v>
          </cell>
        </row>
        <row r="12">
          <cell r="F12"/>
          <cell r="G12"/>
          <cell r="H12"/>
          <cell r="I12"/>
          <cell r="J12"/>
          <cell r="K12"/>
          <cell r="L12"/>
          <cell r="M12"/>
          <cell r="N12"/>
          <cell r="O12"/>
          <cell r="P12"/>
          <cell r="Q12"/>
          <cell r="R12"/>
        </row>
        <row r="13">
          <cell r="C13" t="str">
            <v>Chanel</v>
          </cell>
          <cell r="D13"/>
          <cell r="E13"/>
          <cell r="F13">
            <v>15</v>
          </cell>
          <cell r="G13">
            <v>15</v>
          </cell>
          <cell r="H13">
            <v>15</v>
          </cell>
          <cell r="I13">
            <v>15</v>
          </cell>
          <cell r="J13">
            <v>15</v>
          </cell>
          <cell r="K13">
            <v>15</v>
          </cell>
          <cell r="L13">
            <v>15</v>
          </cell>
          <cell r="M13">
            <v>16</v>
          </cell>
          <cell r="N13">
            <v>16</v>
          </cell>
          <cell r="O13">
            <v>16</v>
          </cell>
          <cell r="P13">
            <v>16</v>
          </cell>
          <cell r="Q13">
            <v>17</v>
          </cell>
          <cell r="R13">
            <v>18</v>
          </cell>
        </row>
        <row r="14">
          <cell r="C14" t="str">
            <v>Burberry</v>
          </cell>
          <cell r="D14"/>
          <cell r="E14"/>
          <cell r="F14">
            <v>62</v>
          </cell>
          <cell r="G14">
            <v>61</v>
          </cell>
          <cell r="H14">
            <v>73</v>
          </cell>
          <cell r="I14">
            <v>70</v>
          </cell>
          <cell r="J14">
            <v>70</v>
          </cell>
          <cell r="K14">
            <v>65</v>
          </cell>
          <cell r="L14">
            <v>67</v>
          </cell>
          <cell r="M14">
            <v>65</v>
          </cell>
          <cell r="N14">
            <v>65</v>
          </cell>
          <cell r="O14">
            <v>70</v>
          </cell>
          <cell r="P14">
            <v>71</v>
          </cell>
          <cell r="Q14">
            <v>69</v>
          </cell>
          <cell r="R14">
            <v>70</v>
          </cell>
        </row>
        <row r="15">
          <cell r="C15" t="str">
            <v>Prada</v>
          </cell>
          <cell r="F15">
            <v>35</v>
          </cell>
          <cell r="G15">
            <v>36</v>
          </cell>
          <cell r="H15">
            <v>36</v>
          </cell>
          <cell r="I15">
            <v>36</v>
          </cell>
          <cell r="J15">
            <v>37</v>
          </cell>
          <cell r="K15">
            <v>38</v>
          </cell>
          <cell r="L15">
            <v>36</v>
          </cell>
          <cell r="M15">
            <v>38</v>
          </cell>
          <cell r="N15">
            <v>34</v>
          </cell>
          <cell r="O15">
            <v>38</v>
          </cell>
          <cell r="P15">
            <v>37</v>
          </cell>
          <cell r="Q15">
            <v>36</v>
          </cell>
          <cell r="R15">
            <v>35</v>
          </cell>
        </row>
        <row r="16">
          <cell r="C16" t="str">
            <v>Hermes</v>
          </cell>
          <cell r="D16"/>
          <cell r="E16"/>
          <cell r="F16">
            <v>28</v>
          </cell>
          <cell r="G16">
            <v>26</v>
          </cell>
          <cell r="H16">
            <v>26</v>
          </cell>
          <cell r="I16">
            <v>29</v>
          </cell>
          <cell r="J16">
            <v>29</v>
          </cell>
          <cell r="K16">
            <v>29</v>
          </cell>
          <cell r="L16">
            <v>29</v>
          </cell>
          <cell r="M16">
            <v>29</v>
          </cell>
          <cell r="N16">
            <v>29</v>
          </cell>
          <cell r="O16">
            <v>30</v>
          </cell>
          <cell r="P16">
            <v>31</v>
          </cell>
          <cell r="Q16">
            <v>32</v>
          </cell>
          <cell r="R16">
            <v>34</v>
          </cell>
        </row>
        <row r="17">
          <cell r="C17" t="str">
            <v>Bottega Veneta</v>
          </cell>
          <cell r="D17"/>
          <cell r="E17"/>
          <cell r="F17">
            <v>42</v>
          </cell>
          <cell r="G17">
            <v>38</v>
          </cell>
          <cell r="H17">
            <v>37</v>
          </cell>
          <cell r="I17">
            <v>41</v>
          </cell>
          <cell r="J17">
            <v>41</v>
          </cell>
          <cell r="K17">
            <v>42</v>
          </cell>
          <cell r="L17">
            <v>41</v>
          </cell>
          <cell r="M17">
            <v>44</v>
          </cell>
          <cell r="N17">
            <v>46</v>
          </cell>
          <cell r="O17">
            <v>46</v>
          </cell>
          <cell r="P17">
            <v>47</v>
          </cell>
          <cell r="Q17">
            <v>47</v>
          </cell>
          <cell r="R17">
            <v>47</v>
          </cell>
        </row>
        <row r="18">
          <cell r="C18" t="str">
            <v>Balenciaga</v>
          </cell>
          <cell r="F18">
            <v>33</v>
          </cell>
          <cell r="G18">
            <v>33</v>
          </cell>
          <cell r="H18">
            <v>34</v>
          </cell>
          <cell r="I18">
            <v>36</v>
          </cell>
          <cell r="J18">
            <v>38</v>
          </cell>
          <cell r="K18">
            <v>38</v>
          </cell>
          <cell r="L18">
            <v>43</v>
          </cell>
          <cell r="M18">
            <v>45</v>
          </cell>
          <cell r="N18">
            <v>45</v>
          </cell>
          <cell r="O18">
            <v>45</v>
          </cell>
          <cell r="P18">
            <v>47</v>
          </cell>
          <cell r="Q18">
            <v>46</v>
          </cell>
          <cell r="R18">
            <v>47</v>
          </cell>
        </row>
        <row r="19">
          <cell r="C19" t="str">
            <v>Fendi</v>
          </cell>
          <cell r="D19"/>
          <cell r="E19"/>
          <cell r="F19">
            <v>26</v>
          </cell>
          <cell r="G19">
            <v>28</v>
          </cell>
          <cell r="H19">
            <v>28</v>
          </cell>
          <cell r="I19">
            <v>37</v>
          </cell>
          <cell r="J19">
            <v>37</v>
          </cell>
          <cell r="K19">
            <v>38</v>
          </cell>
          <cell r="L19">
            <v>38</v>
          </cell>
          <cell r="M19">
            <v>40</v>
          </cell>
          <cell r="N19">
            <v>41</v>
          </cell>
          <cell r="O19">
            <v>41</v>
          </cell>
          <cell r="P19">
            <v>43</v>
          </cell>
          <cell r="Q19">
            <v>43</v>
          </cell>
          <cell r="R19">
            <v>45</v>
          </cell>
        </row>
        <row r="20">
          <cell r="C20" t="str">
            <v>Saint Laurent</v>
          </cell>
          <cell r="F20">
            <v>34</v>
          </cell>
          <cell r="G20">
            <v>42</v>
          </cell>
          <cell r="H20">
            <v>43</v>
          </cell>
          <cell r="I20">
            <v>43</v>
          </cell>
          <cell r="J20">
            <v>46</v>
          </cell>
          <cell r="K20">
            <v>45</v>
          </cell>
          <cell r="L20">
            <v>44</v>
          </cell>
          <cell r="M20">
            <v>46</v>
          </cell>
          <cell r="N20">
            <v>45</v>
          </cell>
          <cell r="O20">
            <v>45</v>
          </cell>
          <cell r="P20">
            <v>45</v>
          </cell>
          <cell r="Q20">
            <v>46</v>
          </cell>
          <cell r="R20">
            <v>47</v>
          </cell>
        </row>
        <row r="21">
          <cell r="C21" t="str">
            <v>Valentino</v>
          </cell>
          <cell r="F21">
            <v>25</v>
          </cell>
          <cell r="G21">
            <v>31</v>
          </cell>
          <cell r="H21">
            <v>31</v>
          </cell>
          <cell r="I21">
            <v>30</v>
          </cell>
          <cell r="J21">
            <v>32</v>
          </cell>
          <cell r="K21">
            <v>27</v>
          </cell>
          <cell r="L21">
            <v>30</v>
          </cell>
          <cell r="M21">
            <v>32</v>
          </cell>
          <cell r="N21">
            <v>31</v>
          </cell>
          <cell r="O21">
            <v>32</v>
          </cell>
          <cell r="P21">
            <v>32</v>
          </cell>
          <cell r="Q21">
            <v>33</v>
          </cell>
          <cell r="R21">
            <v>34</v>
          </cell>
        </row>
        <row r="22">
          <cell r="C22" t="str">
            <v>Stuart Weitzman</v>
          </cell>
          <cell r="F22">
            <v>48</v>
          </cell>
          <cell r="G22">
            <v>52</v>
          </cell>
          <cell r="H22">
            <v>54</v>
          </cell>
          <cell r="I22">
            <v>45</v>
          </cell>
          <cell r="J22">
            <v>45</v>
          </cell>
          <cell r="K22">
            <v>46</v>
          </cell>
          <cell r="L22">
            <v>46</v>
          </cell>
          <cell r="M22">
            <v>47</v>
          </cell>
          <cell r="N22">
            <v>49</v>
          </cell>
          <cell r="O22">
            <v>57</v>
          </cell>
          <cell r="P22">
            <v>52</v>
          </cell>
          <cell r="Q22">
            <v>45</v>
          </cell>
          <cell r="R22">
            <v>45</v>
          </cell>
        </row>
        <row r="23">
          <cell r="C23" t="str">
            <v>Loewe</v>
          </cell>
          <cell r="D23"/>
          <cell r="E23"/>
          <cell r="F23"/>
          <cell r="G23"/>
          <cell r="H23"/>
          <cell r="I23"/>
          <cell r="J23"/>
          <cell r="K23">
            <v>30</v>
          </cell>
          <cell r="L23">
            <v>30</v>
          </cell>
          <cell r="M23">
            <v>31</v>
          </cell>
          <cell r="N23">
            <v>31</v>
          </cell>
          <cell r="O23">
            <v>29</v>
          </cell>
          <cell r="P23">
            <v>30</v>
          </cell>
          <cell r="Q23">
            <v>30</v>
          </cell>
          <cell r="R23">
            <v>30</v>
          </cell>
        </row>
        <row r="24">
          <cell r="C24" t="str">
            <v>Other Luxury</v>
          </cell>
          <cell r="F24">
            <v>348</v>
          </cell>
          <cell r="G24">
            <v>362</v>
          </cell>
          <cell r="H24">
            <v>377</v>
          </cell>
          <cell r="I24">
            <v>382</v>
          </cell>
          <cell r="J24">
            <v>390</v>
          </cell>
          <cell r="K24">
            <v>413</v>
          </cell>
          <cell r="L24">
            <v>419</v>
          </cell>
          <cell r="M24">
            <v>433</v>
          </cell>
          <cell r="N24">
            <v>432</v>
          </cell>
          <cell r="O24">
            <v>449</v>
          </cell>
          <cell r="P24">
            <v>451</v>
          </cell>
          <cell r="Q24">
            <v>444</v>
          </cell>
          <cell r="R24">
            <v>452</v>
          </cell>
        </row>
        <row r="25">
          <cell r="C25"/>
          <cell r="D25"/>
          <cell r="E25"/>
          <cell r="F25"/>
          <cell r="H25"/>
          <cell r="I25"/>
          <cell r="J25"/>
          <cell r="K25"/>
          <cell r="L25"/>
          <cell r="M25"/>
          <cell r="N25"/>
          <cell r="O25"/>
          <cell r="P25"/>
          <cell r="Q25"/>
          <cell r="R25"/>
        </row>
        <row r="26">
          <cell r="C26" t="str">
            <v>Longchamp</v>
          </cell>
          <cell r="F26">
            <v>21</v>
          </cell>
          <cell r="G26">
            <v>25</v>
          </cell>
          <cell r="H26">
            <v>26</v>
          </cell>
          <cell r="I26">
            <v>27</v>
          </cell>
          <cell r="J26">
            <v>27</v>
          </cell>
          <cell r="K26">
            <v>28</v>
          </cell>
          <cell r="L26">
            <v>31</v>
          </cell>
          <cell r="M26">
            <v>33</v>
          </cell>
          <cell r="N26">
            <v>34</v>
          </cell>
          <cell r="O26">
            <v>35</v>
          </cell>
          <cell r="P26">
            <v>35</v>
          </cell>
          <cell r="Q26">
            <v>35</v>
          </cell>
          <cell r="R26">
            <v>38</v>
          </cell>
        </row>
        <row r="27">
          <cell r="C27" t="str">
            <v>Furla</v>
          </cell>
          <cell r="D27"/>
          <cell r="E27"/>
          <cell r="F27">
            <v>67</v>
          </cell>
          <cell r="G27">
            <v>62</v>
          </cell>
          <cell r="H27">
            <v>50</v>
          </cell>
          <cell r="I27">
            <v>57</v>
          </cell>
          <cell r="J27">
            <v>63</v>
          </cell>
          <cell r="K27">
            <v>63</v>
          </cell>
          <cell r="L27">
            <v>64</v>
          </cell>
          <cell r="M27">
            <v>63</v>
          </cell>
          <cell r="N27">
            <v>65</v>
          </cell>
          <cell r="O27">
            <v>57</v>
          </cell>
          <cell r="P27">
            <v>58</v>
          </cell>
          <cell r="Q27">
            <v>58</v>
          </cell>
          <cell r="R27">
            <v>58</v>
          </cell>
        </row>
        <row r="28">
          <cell r="C28" t="str">
            <v>Kate Spade</v>
          </cell>
          <cell r="D28"/>
          <cell r="E28"/>
          <cell r="F28">
            <v>31</v>
          </cell>
          <cell r="G28">
            <v>29</v>
          </cell>
          <cell r="H28">
            <v>26</v>
          </cell>
          <cell r="I28">
            <v>25</v>
          </cell>
          <cell r="J28">
            <v>24</v>
          </cell>
          <cell r="K28">
            <v>23</v>
          </cell>
          <cell r="L28">
            <v>21</v>
          </cell>
          <cell r="M28">
            <v>21</v>
          </cell>
          <cell r="N28">
            <v>22</v>
          </cell>
          <cell r="O28">
            <v>21</v>
          </cell>
          <cell r="P28">
            <v>22</v>
          </cell>
          <cell r="Q28">
            <v>22</v>
          </cell>
          <cell r="R28">
            <v>22</v>
          </cell>
        </row>
        <row r="29">
          <cell r="C29" t="str">
            <v>Tory Burch</v>
          </cell>
          <cell r="F29">
            <v>34</v>
          </cell>
          <cell r="G29">
            <v>45</v>
          </cell>
          <cell r="H29">
            <v>39</v>
          </cell>
          <cell r="I29">
            <v>38</v>
          </cell>
          <cell r="J29">
            <v>37</v>
          </cell>
          <cell r="K29">
            <v>52</v>
          </cell>
          <cell r="L29">
            <v>55</v>
          </cell>
          <cell r="M29">
            <v>55</v>
          </cell>
          <cell r="N29">
            <v>59</v>
          </cell>
          <cell r="O29">
            <v>62</v>
          </cell>
          <cell r="P29">
            <v>61</v>
          </cell>
          <cell r="Q29">
            <v>65</v>
          </cell>
          <cell r="R29">
            <v>71</v>
          </cell>
        </row>
        <row r="30">
          <cell r="C30" t="str">
            <v>Michael Kors</v>
          </cell>
          <cell r="F30">
            <v>111</v>
          </cell>
          <cell r="G30">
            <v>111</v>
          </cell>
          <cell r="H30">
            <v>112</v>
          </cell>
          <cell r="I30">
            <v>105</v>
          </cell>
          <cell r="J30">
            <v>108</v>
          </cell>
          <cell r="K30">
            <v>109</v>
          </cell>
          <cell r="L30">
            <v>109</v>
          </cell>
          <cell r="M30">
            <v>112</v>
          </cell>
          <cell r="N30">
            <v>113</v>
          </cell>
          <cell r="O30">
            <v>114</v>
          </cell>
          <cell r="P30">
            <v>109</v>
          </cell>
          <cell r="Q30">
            <v>109</v>
          </cell>
          <cell r="R30">
            <v>112</v>
          </cell>
        </row>
        <row r="31">
          <cell r="C31" t="str">
            <v>MCM</v>
          </cell>
          <cell r="F31">
            <v>53</v>
          </cell>
          <cell r="G31">
            <v>53</v>
          </cell>
          <cell r="H31">
            <v>46</v>
          </cell>
          <cell r="I31">
            <v>56</v>
          </cell>
          <cell r="J31">
            <v>65</v>
          </cell>
          <cell r="K31">
            <v>68</v>
          </cell>
          <cell r="L31">
            <v>67</v>
          </cell>
          <cell r="M31">
            <v>60</v>
          </cell>
          <cell r="N31">
            <v>60</v>
          </cell>
          <cell r="O31">
            <v>60</v>
          </cell>
          <cell r="P31">
            <v>59</v>
          </cell>
          <cell r="Q31">
            <v>59</v>
          </cell>
          <cell r="R31">
            <v>51</v>
          </cell>
        </row>
        <row r="32">
          <cell r="C32" t="str">
            <v>CharlesKeith</v>
          </cell>
          <cell r="D32"/>
          <cell r="E32"/>
          <cell r="F32">
            <v>224</v>
          </cell>
          <cell r="G32">
            <v>262</v>
          </cell>
          <cell r="H32">
            <v>273</v>
          </cell>
          <cell r="I32">
            <v>271</v>
          </cell>
          <cell r="J32">
            <v>265</v>
          </cell>
          <cell r="K32">
            <v>263</v>
          </cell>
          <cell r="L32">
            <v>277</v>
          </cell>
          <cell r="M32">
            <v>272</v>
          </cell>
          <cell r="N32">
            <v>268</v>
          </cell>
          <cell r="O32">
            <v>263</v>
          </cell>
          <cell r="P32">
            <v>257</v>
          </cell>
          <cell r="Q32">
            <v>258</v>
          </cell>
          <cell r="R32">
            <v>258</v>
          </cell>
        </row>
        <row r="33">
          <cell r="C33" t="str">
            <v>Accessible Luxury</v>
          </cell>
          <cell r="F33">
            <v>541</v>
          </cell>
          <cell r="G33">
            <v>587</v>
          </cell>
          <cell r="H33">
            <v>572</v>
          </cell>
          <cell r="I33">
            <v>579</v>
          </cell>
          <cell r="J33">
            <v>589</v>
          </cell>
          <cell r="K33">
            <v>606</v>
          </cell>
          <cell r="L33">
            <v>624</v>
          </cell>
          <cell r="M33">
            <v>616</v>
          </cell>
          <cell r="N33">
            <v>621</v>
          </cell>
          <cell r="O33">
            <v>612</v>
          </cell>
          <cell r="P33">
            <v>601</v>
          </cell>
          <cell r="Q33">
            <v>606</v>
          </cell>
          <cell r="R33">
            <v>610</v>
          </cell>
        </row>
        <row r="34">
          <cell r="C34"/>
          <cell r="D34"/>
          <cell r="E34"/>
          <cell r="F34"/>
          <cell r="H34"/>
          <cell r="I34"/>
          <cell r="J34"/>
          <cell r="K34"/>
          <cell r="L34"/>
          <cell r="M34"/>
          <cell r="N34"/>
          <cell r="O34"/>
          <cell r="P34"/>
          <cell r="Q34"/>
          <cell r="R34"/>
        </row>
        <row r="35">
          <cell r="C35" t="str">
            <v>Hugo Boss</v>
          </cell>
          <cell r="D35"/>
          <cell r="E35"/>
          <cell r="F35">
            <v>102</v>
          </cell>
          <cell r="G35">
            <v>116</v>
          </cell>
          <cell r="H35">
            <v>116</v>
          </cell>
          <cell r="I35">
            <v>121</v>
          </cell>
          <cell r="J35">
            <v>122</v>
          </cell>
          <cell r="K35">
            <v>122</v>
          </cell>
          <cell r="L35">
            <v>115</v>
          </cell>
          <cell r="M35">
            <v>116</v>
          </cell>
          <cell r="N35">
            <v>114</v>
          </cell>
          <cell r="O35">
            <v>117</v>
          </cell>
          <cell r="P35">
            <v>114</v>
          </cell>
          <cell r="Q35">
            <v>112</v>
          </cell>
          <cell r="R35">
            <v>112</v>
          </cell>
        </row>
        <row r="36">
          <cell r="C36" t="str">
            <v>Men's</v>
          </cell>
          <cell r="D36"/>
          <cell r="E36"/>
          <cell r="F36">
            <v>102</v>
          </cell>
          <cell r="G36">
            <v>116</v>
          </cell>
          <cell r="H36">
            <v>116</v>
          </cell>
          <cell r="I36">
            <v>121</v>
          </cell>
          <cell r="J36">
            <v>122</v>
          </cell>
          <cell r="K36">
            <v>122</v>
          </cell>
          <cell r="L36">
            <v>115</v>
          </cell>
          <cell r="M36">
            <v>116</v>
          </cell>
          <cell r="N36">
            <v>114</v>
          </cell>
          <cell r="O36">
            <v>117</v>
          </cell>
          <cell r="P36">
            <v>114</v>
          </cell>
          <cell r="Q36">
            <v>112</v>
          </cell>
          <cell r="R36">
            <v>112</v>
          </cell>
        </row>
        <row r="37">
          <cell r="C37"/>
          <cell r="D37"/>
          <cell r="E37"/>
          <cell r="F37"/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</row>
        <row r="38">
          <cell r="C38" t="str">
            <v>AcneStudio</v>
          </cell>
          <cell r="F38">
            <v>9</v>
          </cell>
          <cell r="G38">
            <v>9</v>
          </cell>
          <cell r="H38">
            <v>10</v>
          </cell>
          <cell r="I38">
            <v>10</v>
          </cell>
          <cell r="J38">
            <v>10</v>
          </cell>
          <cell r="K38">
            <v>10</v>
          </cell>
          <cell r="L38">
            <v>11</v>
          </cell>
          <cell r="M38">
            <v>11</v>
          </cell>
          <cell r="N38">
            <v>12</v>
          </cell>
          <cell r="O38">
            <v>12</v>
          </cell>
          <cell r="P38">
            <v>14</v>
          </cell>
          <cell r="Q38">
            <v>15</v>
          </cell>
          <cell r="R38">
            <v>14</v>
          </cell>
        </row>
        <row r="39">
          <cell r="C39" t="str">
            <v>Sandro</v>
          </cell>
          <cell r="F39">
            <v>66</v>
          </cell>
          <cell r="G39">
            <v>74</v>
          </cell>
          <cell r="H39">
            <v>93</v>
          </cell>
          <cell r="I39">
            <v>96</v>
          </cell>
          <cell r="J39">
            <v>99</v>
          </cell>
          <cell r="K39">
            <v>97</v>
          </cell>
          <cell r="L39">
            <v>80</v>
          </cell>
          <cell r="M39">
            <v>80</v>
          </cell>
          <cell r="N39">
            <v>81</v>
          </cell>
          <cell r="O39">
            <v>83</v>
          </cell>
          <cell r="P39">
            <v>81</v>
          </cell>
          <cell r="Q39">
            <v>81</v>
          </cell>
          <cell r="R39">
            <v>80</v>
          </cell>
        </row>
        <row r="40">
          <cell r="C40" t="str">
            <v>Maje</v>
          </cell>
          <cell r="D40"/>
          <cell r="E40"/>
          <cell r="F40">
            <v>66</v>
          </cell>
          <cell r="G40">
            <v>67</v>
          </cell>
          <cell r="H40">
            <v>79</v>
          </cell>
          <cell r="I40">
            <v>82</v>
          </cell>
          <cell r="J40">
            <v>86</v>
          </cell>
          <cell r="K40">
            <v>84</v>
          </cell>
          <cell r="L40">
            <v>76</v>
          </cell>
          <cell r="M40">
            <v>76</v>
          </cell>
          <cell r="N40">
            <v>78</v>
          </cell>
          <cell r="O40">
            <v>76</v>
          </cell>
          <cell r="P40">
            <v>77</v>
          </cell>
          <cell r="Q40">
            <v>77</v>
          </cell>
          <cell r="R40">
            <v>76</v>
          </cell>
        </row>
        <row r="41">
          <cell r="C41" t="str">
            <v>RTW</v>
          </cell>
          <cell r="D41"/>
          <cell r="E41"/>
          <cell r="F41">
            <v>141</v>
          </cell>
          <cell r="G41">
            <v>150</v>
          </cell>
          <cell r="H41">
            <v>182</v>
          </cell>
          <cell r="I41">
            <v>188</v>
          </cell>
          <cell r="J41">
            <v>195</v>
          </cell>
          <cell r="K41">
            <v>191</v>
          </cell>
          <cell r="L41">
            <v>167</v>
          </cell>
          <cell r="M41">
            <v>167</v>
          </cell>
          <cell r="N41">
            <v>171</v>
          </cell>
          <cell r="O41">
            <v>171</v>
          </cell>
          <cell r="P41">
            <v>172</v>
          </cell>
          <cell r="Q41">
            <v>173</v>
          </cell>
          <cell r="R41">
            <v>170</v>
          </cell>
        </row>
        <row r="42">
          <cell r="C42" t="str">
            <v xml:space="preserve">Competitors Total </v>
          </cell>
          <cell r="D42"/>
          <cell r="E42"/>
          <cell r="F42"/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</row>
        <row r="43">
          <cell r="C43"/>
          <cell r="D43"/>
          <cell r="E43"/>
          <cell r="F43"/>
          <cell r="H43"/>
          <cell r="I43"/>
          <cell r="J43"/>
          <cell r="K43"/>
          <cell r="L43"/>
          <cell r="M43"/>
          <cell r="N43"/>
          <cell r="O43"/>
          <cell r="P43"/>
          <cell r="Q43"/>
          <cell r="R43"/>
        </row>
        <row r="44">
          <cell r="C44" t="str">
            <v>Competitor excl. Big Three</v>
          </cell>
          <cell r="D44"/>
          <cell r="E44"/>
          <cell r="F44"/>
          <cell r="G44"/>
          <cell r="H44"/>
          <cell r="I44"/>
          <cell r="J44"/>
          <cell r="K44"/>
          <cell r="L44"/>
          <cell r="M44"/>
          <cell r="N44"/>
          <cell r="O44"/>
          <cell r="P44"/>
          <cell r="Q44"/>
          <cell r="R44"/>
        </row>
        <row r="45">
          <cell r="C45" t="str">
            <v>Lancome</v>
          </cell>
          <cell r="H45"/>
          <cell r="I45"/>
          <cell r="J45"/>
          <cell r="K45"/>
          <cell r="L45"/>
          <cell r="M45"/>
          <cell r="N45"/>
          <cell r="O45"/>
          <cell r="P45"/>
          <cell r="Q45"/>
          <cell r="R45"/>
        </row>
        <row r="46">
          <cell r="J46"/>
          <cell r="K46"/>
          <cell r="L46"/>
          <cell r="M46"/>
          <cell r="N46"/>
          <cell r="O46"/>
          <cell r="P46"/>
          <cell r="Q46"/>
          <cell r="R46"/>
        </row>
        <row r="47">
          <cell r="F47"/>
          <cell r="G47"/>
          <cell r="H47"/>
          <cell r="I47"/>
          <cell r="J47"/>
          <cell r="K47"/>
          <cell r="L47"/>
          <cell r="M47"/>
          <cell r="N47"/>
          <cell r="O47"/>
          <cell r="P47"/>
          <cell r="Q47"/>
          <cell r="R47"/>
        </row>
        <row r="48">
          <cell r="F48"/>
          <cell r="G48"/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</row>
        <row r="49">
          <cell r="C49"/>
          <cell r="D49"/>
          <cell r="E49"/>
          <cell r="F49"/>
          <cell r="G49"/>
          <cell r="H49"/>
          <cell r="I49"/>
          <cell r="J49"/>
          <cell r="K49"/>
          <cell r="L49"/>
          <cell r="M49"/>
          <cell r="N49"/>
          <cell r="O49"/>
          <cell r="P49"/>
          <cell r="Q49"/>
          <cell r="R49"/>
        </row>
        <row r="50">
          <cell r="C50" t="str">
            <v>MCM comp +112% is mainly driven by BJ SKP anniversary, Apr store sales seeing 10 times of previous month.</v>
          </cell>
          <cell r="D50"/>
          <cell r="E50"/>
          <cell r="F50"/>
        </row>
        <row r="51">
          <cell r="C51"/>
          <cell r="D51"/>
          <cell r="E51"/>
          <cell r="F51"/>
        </row>
        <row r="55">
          <cell r="C55"/>
          <cell r="D55"/>
          <cell r="E55"/>
          <cell r="F55"/>
          <cell r="G55"/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/>
        </row>
      </sheetData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P"/>
      <sheetName val="Sheet1"/>
    </sheetNames>
    <sheetDataSet>
      <sheetData sheetId="0">
        <row r="1">
          <cell r="C1"/>
          <cell r="D1"/>
          <cell r="E1"/>
          <cell r="F1"/>
          <cell r="G1"/>
          <cell r="J1"/>
          <cell r="K1"/>
          <cell r="L1"/>
          <cell r="M1"/>
          <cell r="N1"/>
          <cell r="O1"/>
          <cell r="P1"/>
          <cell r="Q1"/>
          <cell r="R1"/>
          <cell r="S1"/>
        </row>
        <row r="2">
          <cell r="F2"/>
          <cell r="G2"/>
          <cell r="J2"/>
          <cell r="K2"/>
          <cell r="L2"/>
          <cell r="M2"/>
          <cell r="N2"/>
          <cell r="O2"/>
          <cell r="P2"/>
          <cell r="Q2"/>
          <cell r="R2"/>
          <cell r="S2"/>
        </row>
        <row r="3">
          <cell r="C3"/>
          <cell r="D3"/>
          <cell r="E3"/>
          <cell r="F3"/>
          <cell r="G3"/>
          <cell r="J3"/>
          <cell r="K3"/>
          <cell r="L3"/>
          <cell r="M3"/>
          <cell r="N3"/>
          <cell r="O3"/>
          <cell r="P3"/>
          <cell r="Q3"/>
          <cell r="R3"/>
          <cell r="S3"/>
        </row>
        <row r="4">
          <cell r="C4"/>
          <cell r="D4"/>
          <cell r="E4"/>
          <cell r="F4"/>
          <cell r="G4"/>
          <cell r="J4"/>
          <cell r="K4"/>
          <cell r="L4"/>
          <cell r="M4"/>
          <cell r="N4"/>
          <cell r="O4"/>
          <cell r="P4"/>
          <cell r="Q4"/>
          <cell r="R4"/>
          <cell r="S4"/>
        </row>
        <row r="5">
          <cell r="C5"/>
          <cell r="D5" t="str">
            <v>Store count 
FY21 Q1</v>
          </cell>
          <cell r="E5" t="str">
            <v>Store count 
FY21 Q2</v>
          </cell>
          <cell r="F5" t="str">
            <v>Store count 
FY21 Q3</v>
          </cell>
          <cell r="G5" t="str">
            <v>Store count 
FY21 Q4</v>
          </cell>
          <cell r="H5" t="str">
            <v>Store Count 
FY22 Q1</v>
          </cell>
          <cell r="I5" t="str">
            <v>Store count
FY22 Q2</v>
          </cell>
          <cell r="J5" t="str">
            <v>Store count
FY22 Q3</v>
          </cell>
          <cell r="K5" t="str">
            <v>Store count
FY22 Q4</v>
          </cell>
          <cell r="L5" t="str">
            <v>Store count
FY23 Q1</v>
          </cell>
          <cell r="M5" t="str">
            <v>Store Count
FY23 Q2</v>
          </cell>
          <cell r="N5" t="str">
            <v>Store Count
FY23 Q3</v>
          </cell>
          <cell r="O5" t="str">
            <v>Store Count
FY23 Q4</v>
          </cell>
          <cell r="P5" t="str">
            <v>Store Count FY24 Q1</v>
          </cell>
          <cell r="Q5" t="str">
            <v>Store Count
FY24 Q2</v>
          </cell>
          <cell r="R5" t="str">
            <v>Store Count
FY24 Q3</v>
          </cell>
          <cell r="S5" t="str">
            <v>Store Count
FY24 Q4</v>
          </cell>
        </row>
        <row r="6">
          <cell r="F6"/>
          <cell r="H6"/>
          <cell r="I6"/>
          <cell r="J6"/>
          <cell r="K6"/>
          <cell r="L6"/>
          <cell r="M6"/>
          <cell r="N6"/>
          <cell r="O6"/>
          <cell r="P6"/>
          <cell r="Q6"/>
          <cell r="R6"/>
          <cell r="S6"/>
        </row>
        <row r="7">
          <cell r="C7" t="str">
            <v>Competitors</v>
          </cell>
          <cell r="D7"/>
          <cell r="E7"/>
          <cell r="F7"/>
          <cell r="H7"/>
          <cell r="I7"/>
          <cell r="J7"/>
          <cell r="K7"/>
          <cell r="L7"/>
          <cell r="M7"/>
          <cell r="N7"/>
          <cell r="O7"/>
          <cell r="P7"/>
          <cell r="Q7"/>
          <cell r="R7"/>
          <cell r="S7"/>
        </row>
        <row r="8">
          <cell r="C8" t="str">
            <v>LV</v>
          </cell>
          <cell r="F8">
            <v>43</v>
          </cell>
          <cell r="G8">
            <v>56</v>
          </cell>
          <cell r="H8">
            <v>57</v>
          </cell>
          <cell r="I8">
            <v>58</v>
          </cell>
          <cell r="J8">
            <v>60</v>
          </cell>
          <cell r="K8">
            <v>60</v>
          </cell>
          <cell r="L8">
            <v>61</v>
          </cell>
          <cell r="M8">
            <v>64</v>
          </cell>
          <cell r="N8">
            <v>64</v>
          </cell>
          <cell r="O8">
            <v>64</v>
          </cell>
          <cell r="P8">
            <v>64</v>
          </cell>
          <cell r="Q8">
            <v>65</v>
          </cell>
          <cell r="R8">
            <v>67</v>
          </cell>
          <cell r="S8">
            <v>67</v>
          </cell>
        </row>
        <row r="9">
          <cell r="C9" t="str">
            <v>Gucci</v>
          </cell>
          <cell r="D9"/>
          <cell r="E9"/>
          <cell r="F9">
            <v>51</v>
          </cell>
          <cell r="G9">
            <v>58</v>
          </cell>
          <cell r="H9">
            <v>59</v>
          </cell>
          <cell r="I9">
            <v>70</v>
          </cell>
          <cell r="J9">
            <v>74</v>
          </cell>
          <cell r="K9">
            <v>73</v>
          </cell>
          <cell r="L9">
            <v>76</v>
          </cell>
          <cell r="M9">
            <v>81</v>
          </cell>
          <cell r="N9">
            <v>79</v>
          </cell>
          <cell r="O9">
            <v>80</v>
          </cell>
          <cell r="P9">
            <v>85</v>
          </cell>
          <cell r="Q9">
            <v>85</v>
          </cell>
          <cell r="R9">
            <v>86</v>
          </cell>
          <cell r="S9">
            <v>87</v>
          </cell>
        </row>
        <row r="10">
          <cell r="C10" t="str">
            <v>Dior</v>
          </cell>
          <cell r="D10"/>
          <cell r="E10"/>
          <cell r="F10">
            <v>26</v>
          </cell>
          <cell r="G10">
            <v>34</v>
          </cell>
          <cell r="H10">
            <v>37</v>
          </cell>
          <cell r="I10">
            <v>30</v>
          </cell>
          <cell r="J10">
            <v>32</v>
          </cell>
          <cell r="K10">
            <v>32</v>
          </cell>
          <cell r="L10">
            <v>32</v>
          </cell>
          <cell r="M10">
            <v>37</v>
          </cell>
          <cell r="N10">
            <v>37</v>
          </cell>
          <cell r="O10">
            <v>37</v>
          </cell>
          <cell r="P10">
            <v>37</v>
          </cell>
          <cell r="Q10">
            <v>39</v>
          </cell>
          <cell r="R10">
            <v>40</v>
          </cell>
          <cell r="S10">
            <v>39</v>
          </cell>
        </row>
        <row r="11">
          <cell r="C11" t="str">
            <v>Big Three Luxury Brands</v>
          </cell>
          <cell r="F11">
            <v>120</v>
          </cell>
          <cell r="G11">
            <v>148</v>
          </cell>
          <cell r="H11">
            <v>153</v>
          </cell>
          <cell r="I11">
            <v>158</v>
          </cell>
          <cell r="J11">
            <v>166</v>
          </cell>
          <cell r="K11">
            <v>165</v>
          </cell>
          <cell r="L11">
            <v>169</v>
          </cell>
          <cell r="M11">
            <v>182</v>
          </cell>
          <cell r="N11">
            <v>180</v>
          </cell>
          <cell r="O11">
            <v>181</v>
          </cell>
          <cell r="P11">
            <v>186</v>
          </cell>
          <cell r="Q11">
            <v>189</v>
          </cell>
          <cell r="R11">
            <v>193</v>
          </cell>
          <cell r="S11">
            <v>193</v>
          </cell>
        </row>
        <row r="12">
          <cell r="F12"/>
          <cell r="G12"/>
          <cell r="H12"/>
          <cell r="I12"/>
          <cell r="J12"/>
          <cell r="K12"/>
          <cell r="L12"/>
          <cell r="M12"/>
          <cell r="N12"/>
          <cell r="O12"/>
          <cell r="P12"/>
          <cell r="Q12"/>
          <cell r="R12"/>
          <cell r="S12"/>
        </row>
        <row r="13">
          <cell r="C13" t="str">
            <v>Chanel</v>
          </cell>
          <cell r="D13"/>
          <cell r="E13"/>
          <cell r="F13">
            <v>15</v>
          </cell>
          <cell r="G13">
            <v>15</v>
          </cell>
          <cell r="H13">
            <v>15</v>
          </cell>
          <cell r="I13">
            <v>15</v>
          </cell>
          <cell r="J13">
            <v>15</v>
          </cell>
          <cell r="K13">
            <v>15</v>
          </cell>
          <cell r="L13">
            <v>15</v>
          </cell>
          <cell r="M13">
            <v>16</v>
          </cell>
          <cell r="N13">
            <v>16</v>
          </cell>
          <cell r="O13">
            <v>16</v>
          </cell>
          <cell r="P13">
            <v>16</v>
          </cell>
          <cell r="Q13">
            <v>17</v>
          </cell>
          <cell r="R13">
            <v>18</v>
          </cell>
          <cell r="S13">
            <v>18</v>
          </cell>
        </row>
        <row r="14">
          <cell r="C14" t="str">
            <v>Burberry</v>
          </cell>
          <cell r="D14"/>
          <cell r="E14"/>
          <cell r="F14">
            <v>62</v>
          </cell>
          <cell r="G14">
            <v>61</v>
          </cell>
          <cell r="H14">
            <v>73</v>
          </cell>
          <cell r="I14">
            <v>70</v>
          </cell>
          <cell r="J14">
            <v>70</v>
          </cell>
          <cell r="K14">
            <v>65</v>
          </cell>
          <cell r="L14">
            <v>67</v>
          </cell>
          <cell r="M14">
            <v>65</v>
          </cell>
          <cell r="N14">
            <v>65</v>
          </cell>
          <cell r="O14">
            <v>70</v>
          </cell>
          <cell r="P14">
            <v>71</v>
          </cell>
          <cell r="Q14">
            <v>69</v>
          </cell>
          <cell r="R14">
            <v>70</v>
          </cell>
          <cell r="S14">
            <v>71</v>
          </cell>
        </row>
        <row r="15">
          <cell r="C15" t="str">
            <v>Prada</v>
          </cell>
          <cell r="F15">
            <v>35</v>
          </cell>
          <cell r="G15">
            <v>36</v>
          </cell>
          <cell r="H15">
            <v>36</v>
          </cell>
          <cell r="I15">
            <v>36</v>
          </cell>
          <cell r="J15">
            <v>37</v>
          </cell>
          <cell r="K15">
            <v>38</v>
          </cell>
          <cell r="L15">
            <v>36</v>
          </cell>
          <cell r="M15">
            <v>38</v>
          </cell>
          <cell r="N15">
            <v>34</v>
          </cell>
          <cell r="O15">
            <v>38</v>
          </cell>
          <cell r="P15">
            <v>37</v>
          </cell>
          <cell r="Q15">
            <v>36</v>
          </cell>
          <cell r="R15">
            <v>35</v>
          </cell>
          <cell r="S15">
            <v>35</v>
          </cell>
        </row>
        <row r="16">
          <cell r="C16" t="str">
            <v>Hermes</v>
          </cell>
          <cell r="D16"/>
          <cell r="E16"/>
          <cell r="F16">
            <v>28</v>
          </cell>
          <cell r="G16">
            <v>26</v>
          </cell>
          <cell r="H16">
            <v>26</v>
          </cell>
          <cell r="I16">
            <v>29</v>
          </cell>
          <cell r="J16">
            <v>29</v>
          </cell>
          <cell r="K16">
            <v>29</v>
          </cell>
          <cell r="L16">
            <v>29</v>
          </cell>
          <cell r="M16">
            <v>29</v>
          </cell>
          <cell r="N16">
            <v>29</v>
          </cell>
          <cell r="O16">
            <v>30</v>
          </cell>
          <cell r="P16">
            <v>31</v>
          </cell>
          <cell r="Q16">
            <v>32</v>
          </cell>
          <cell r="R16">
            <v>34</v>
          </cell>
          <cell r="S16">
            <v>34</v>
          </cell>
        </row>
        <row r="17">
          <cell r="C17" t="str">
            <v>Bottega Veneta</v>
          </cell>
          <cell r="D17"/>
          <cell r="E17"/>
          <cell r="F17">
            <v>42</v>
          </cell>
          <cell r="G17">
            <v>38</v>
          </cell>
          <cell r="H17">
            <v>37</v>
          </cell>
          <cell r="I17">
            <v>41</v>
          </cell>
          <cell r="J17">
            <v>41</v>
          </cell>
          <cell r="K17">
            <v>42</v>
          </cell>
          <cell r="L17">
            <v>41</v>
          </cell>
          <cell r="M17">
            <v>44</v>
          </cell>
          <cell r="N17">
            <v>46</v>
          </cell>
          <cell r="O17">
            <v>46</v>
          </cell>
          <cell r="P17">
            <v>47</v>
          </cell>
          <cell r="Q17">
            <v>47</v>
          </cell>
          <cell r="R17">
            <v>47</v>
          </cell>
          <cell r="S17">
            <v>48</v>
          </cell>
        </row>
        <row r="18">
          <cell r="C18" t="str">
            <v>Balenciaga</v>
          </cell>
          <cell r="F18">
            <v>33</v>
          </cell>
          <cell r="G18">
            <v>33</v>
          </cell>
          <cell r="H18">
            <v>34</v>
          </cell>
          <cell r="I18">
            <v>36</v>
          </cell>
          <cell r="J18">
            <v>38</v>
          </cell>
          <cell r="K18">
            <v>38</v>
          </cell>
          <cell r="L18">
            <v>43</v>
          </cell>
          <cell r="M18">
            <v>45</v>
          </cell>
          <cell r="N18">
            <v>45</v>
          </cell>
          <cell r="O18">
            <v>45</v>
          </cell>
          <cell r="P18">
            <v>47</v>
          </cell>
          <cell r="Q18">
            <v>46</v>
          </cell>
          <cell r="R18">
            <v>47</v>
          </cell>
          <cell r="S18">
            <v>48</v>
          </cell>
        </row>
        <row r="19">
          <cell r="C19" t="str">
            <v>Fendi</v>
          </cell>
          <cell r="D19"/>
          <cell r="E19"/>
          <cell r="F19">
            <v>26</v>
          </cell>
          <cell r="G19">
            <v>28</v>
          </cell>
          <cell r="H19">
            <v>28</v>
          </cell>
          <cell r="I19">
            <v>37</v>
          </cell>
          <cell r="J19">
            <v>37</v>
          </cell>
          <cell r="K19">
            <v>38</v>
          </cell>
          <cell r="L19">
            <v>38</v>
          </cell>
          <cell r="M19">
            <v>40</v>
          </cell>
          <cell r="N19">
            <v>41</v>
          </cell>
          <cell r="O19">
            <v>41</v>
          </cell>
          <cell r="P19">
            <v>43</v>
          </cell>
          <cell r="Q19">
            <v>43</v>
          </cell>
          <cell r="R19">
            <v>45</v>
          </cell>
          <cell r="S19">
            <v>45</v>
          </cell>
        </row>
        <row r="20">
          <cell r="C20" t="str">
            <v>Saint Laurent</v>
          </cell>
          <cell r="F20">
            <v>34</v>
          </cell>
          <cell r="G20">
            <v>42</v>
          </cell>
          <cell r="H20">
            <v>43</v>
          </cell>
          <cell r="I20">
            <v>43</v>
          </cell>
          <cell r="J20">
            <v>46</v>
          </cell>
          <cell r="K20">
            <v>45</v>
          </cell>
          <cell r="L20">
            <v>44</v>
          </cell>
          <cell r="M20">
            <v>46</v>
          </cell>
          <cell r="N20">
            <v>45</v>
          </cell>
          <cell r="O20">
            <v>45</v>
          </cell>
          <cell r="P20">
            <v>45</v>
          </cell>
          <cell r="Q20">
            <v>46</v>
          </cell>
          <cell r="R20">
            <v>47</v>
          </cell>
          <cell r="S20">
            <v>49</v>
          </cell>
        </row>
        <row r="21">
          <cell r="C21" t="str">
            <v>Valentino</v>
          </cell>
          <cell r="F21">
            <v>25</v>
          </cell>
          <cell r="G21">
            <v>31</v>
          </cell>
          <cell r="H21">
            <v>31</v>
          </cell>
          <cell r="I21">
            <v>30</v>
          </cell>
          <cell r="J21">
            <v>32</v>
          </cell>
          <cell r="K21">
            <v>27</v>
          </cell>
          <cell r="L21">
            <v>30</v>
          </cell>
          <cell r="M21">
            <v>32</v>
          </cell>
          <cell r="N21">
            <v>31</v>
          </cell>
          <cell r="O21">
            <v>32</v>
          </cell>
          <cell r="P21">
            <v>32</v>
          </cell>
          <cell r="Q21">
            <v>33</v>
          </cell>
          <cell r="R21">
            <v>34</v>
          </cell>
          <cell r="S21">
            <v>34</v>
          </cell>
        </row>
        <row r="22">
          <cell r="C22" t="str">
            <v>Stuart Weitzman</v>
          </cell>
          <cell r="F22">
            <v>48</v>
          </cell>
          <cell r="G22">
            <v>52</v>
          </cell>
          <cell r="H22">
            <v>54</v>
          </cell>
          <cell r="I22">
            <v>45</v>
          </cell>
          <cell r="J22">
            <v>45</v>
          </cell>
          <cell r="K22">
            <v>46</v>
          </cell>
          <cell r="L22">
            <v>46</v>
          </cell>
          <cell r="M22">
            <v>47</v>
          </cell>
          <cell r="N22">
            <v>49</v>
          </cell>
          <cell r="O22">
            <v>57</v>
          </cell>
          <cell r="P22">
            <v>52</v>
          </cell>
          <cell r="Q22">
            <v>45</v>
          </cell>
          <cell r="R22">
            <v>45</v>
          </cell>
          <cell r="S22">
            <v>44</v>
          </cell>
        </row>
        <row r="23">
          <cell r="C23" t="str">
            <v>Loewe</v>
          </cell>
          <cell r="D23"/>
          <cell r="E23"/>
          <cell r="F23"/>
          <cell r="G23"/>
          <cell r="H23"/>
          <cell r="I23"/>
          <cell r="J23"/>
          <cell r="K23">
            <v>30</v>
          </cell>
          <cell r="L23">
            <v>30</v>
          </cell>
          <cell r="M23">
            <v>31</v>
          </cell>
          <cell r="N23">
            <v>31</v>
          </cell>
          <cell r="O23">
            <v>29</v>
          </cell>
          <cell r="P23">
            <v>30</v>
          </cell>
          <cell r="Q23">
            <v>30</v>
          </cell>
          <cell r="R23">
            <v>30</v>
          </cell>
          <cell r="S23">
            <v>30</v>
          </cell>
        </row>
        <row r="24">
          <cell r="C24" t="str">
            <v>Other Luxury</v>
          </cell>
          <cell r="F24">
            <v>348</v>
          </cell>
          <cell r="G24">
            <v>362</v>
          </cell>
          <cell r="H24">
            <v>377</v>
          </cell>
          <cell r="I24">
            <v>382</v>
          </cell>
          <cell r="J24">
            <v>390</v>
          </cell>
          <cell r="K24">
            <v>413</v>
          </cell>
          <cell r="L24">
            <v>419</v>
          </cell>
          <cell r="M24">
            <v>433</v>
          </cell>
          <cell r="N24">
            <v>432</v>
          </cell>
          <cell r="O24">
            <v>449</v>
          </cell>
          <cell r="P24">
            <v>451</v>
          </cell>
          <cell r="Q24">
            <v>444</v>
          </cell>
          <cell r="R24">
            <v>452</v>
          </cell>
          <cell r="S24">
            <v>456</v>
          </cell>
        </row>
        <row r="25">
          <cell r="C25"/>
          <cell r="D25"/>
          <cell r="E25"/>
          <cell r="F25"/>
          <cell r="H25"/>
          <cell r="I25"/>
          <cell r="J25"/>
          <cell r="K25"/>
          <cell r="L25"/>
          <cell r="M25"/>
          <cell r="N25"/>
          <cell r="O25"/>
          <cell r="P25"/>
          <cell r="Q25"/>
          <cell r="R25"/>
          <cell r="S25"/>
        </row>
        <row r="26">
          <cell r="C26" t="str">
            <v>Longchamp</v>
          </cell>
          <cell r="F26">
            <v>21</v>
          </cell>
          <cell r="G26">
            <v>25</v>
          </cell>
          <cell r="H26">
            <v>26</v>
          </cell>
          <cell r="I26">
            <v>27</v>
          </cell>
          <cell r="J26">
            <v>27</v>
          </cell>
          <cell r="K26">
            <v>28</v>
          </cell>
          <cell r="L26">
            <v>31</v>
          </cell>
          <cell r="M26">
            <v>33</v>
          </cell>
          <cell r="N26">
            <v>34</v>
          </cell>
          <cell r="O26">
            <v>35</v>
          </cell>
          <cell r="P26">
            <v>35</v>
          </cell>
          <cell r="Q26">
            <v>35</v>
          </cell>
          <cell r="R26">
            <v>38</v>
          </cell>
          <cell r="S26">
            <v>35</v>
          </cell>
        </row>
        <row r="27">
          <cell r="C27" t="str">
            <v>Furla</v>
          </cell>
          <cell r="D27"/>
          <cell r="E27"/>
          <cell r="F27">
            <v>67</v>
          </cell>
          <cell r="G27">
            <v>62</v>
          </cell>
          <cell r="H27">
            <v>50</v>
          </cell>
          <cell r="I27">
            <v>57</v>
          </cell>
          <cell r="J27">
            <v>63</v>
          </cell>
          <cell r="K27">
            <v>63</v>
          </cell>
          <cell r="L27">
            <v>64</v>
          </cell>
          <cell r="M27">
            <v>63</v>
          </cell>
          <cell r="N27">
            <v>65</v>
          </cell>
          <cell r="O27">
            <v>57</v>
          </cell>
          <cell r="P27">
            <v>58</v>
          </cell>
          <cell r="Q27">
            <v>58</v>
          </cell>
          <cell r="R27">
            <v>58</v>
          </cell>
          <cell r="S27">
            <v>59</v>
          </cell>
        </row>
        <row r="28">
          <cell r="C28" t="str">
            <v>Kate Spade</v>
          </cell>
          <cell r="D28"/>
          <cell r="E28"/>
          <cell r="F28">
            <v>31</v>
          </cell>
          <cell r="G28">
            <v>29</v>
          </cell>
          <cell r="H28">
            <v>26</v>
          </cell>
          <cell r="I28">
            <v>25</v>
          </cell>
          <cell r="J28">
            <v>24</v>
          </cell>
          <cell r="K28">
            <v>23</v>
          </cell>
          <cell r="L28">
            <v>21</v>
          </cell>
          <cell r="M28">
            <v>21</v>
          </cell>
          <cell r="N28">
            <v>22</v>
          </cell>
          <cell r="O28">
            <v>21</v>
          </cell>
          <cell r="P28">
            <v>22</v>
          </cell>
          <cell r="Q28">
            <v>22</v>
          </cell>
          <cell r="R28">
            <v>22</v>
          </cell>
          <cell r="S28">
            <v>21</v>
          </cell>
        </row>
        <row r="29">
          <cell r="C29" t="str">
            <v>Tory Burch</v>
          </cell>
          <cell r="F29">
            <v>34</v>
          </cell>
          <cell r="G29">
            <v>45</v>
          </cell>
          <cell r="H29">
            <v>39</v>
          </cell>
          <cell r="I29">
            <v>38</v>
          </cell>
          <cell r="J29">
            <v>37</v>
          </cell>
          <cell r="K29">
            <v>52</v>
          </cell>
          <cell r="L29">
            <v>55</v>
          </cell>
          <cell r="M29">
            <v>55</v>
          </cell>
          <cell r="N29">
            <v>59</v>
          </cell>
          <cell r="O29">
            <v>62</v>
          </cell>
          <cell r="P29">
            <v>61</v>
          </cell>
          <cell r="Q29">
            <v>65</v>
          </cell>
          <cell r="R29">
            <v>71</v>
          </cell>
          <cell r="S29">
            <v>71</v>
          </cell>
        </row>
        <row r="30">
          <cell r="C30" t="str">
            <v>Michael Kors</v>
          </cell>
          <cell r="F30">
            <v>111</v>
          </cell>
          <cell r="G30">
            <v>111</v>
          </cell>
          <cell r="H30">
            <v>112</v>
          </cell>
          <cell r="I30">
            <v>105</v>
          </cell>
          <cell r="J30">
            <v>108</v>
          </cell>
          <cell r="K30">
            <v>109</v>
          </cell>
          <cell r="L30">
            <v>109</v>
          </cell>
          <cell r="M30">
            <v>112</v>
          </cell>
          <cell r="N30">
            <v>113</v>
          </cell>
          <cell r="O30">
            <v>114</v>
          </cell>
          <cell r="P30">
            <v>109</v>
          </cell>
          <cell r="Q30">
            <v>109</v>
          </cell>
          <cell r="R30">
            <v>112</v>
          </cell>
          <cell r="S30">
            <v>108</v>
          </cell>
        </row>
        <row r="31">
          <cell r="C31" t="str">
            <v>MCM</v>
          </cell>
          <cell r="F31">
            <v>53</v>
          </cell>
          <cell r="G31">
            <v>53</v>
          </cell>
          <cell r="H31">
            <v>46</v>
          </cell>
          <cell r="I31">
            <v>56</v>
          </cell>
          <cell r="J31">
            <v>65</v>
          </cell>
          <cell r="K31">
            <v>68</v>
          </cell>
          <cell r="L31">
            <v>67</v>
          </cell>
          <cell r="M31">
            <v>60</v>
          </cell>
          <cell r="N31">
            <v>60</v>
          </cell>
          <cell r="O31">
            <v>60</v>
          </cell>
          <cell r="P31">
            <v>59</v>
          </cell>
          <cell r="Q31">
            <v>59</v>
          </cell>
          <cell r="R31">
            <v>51</v>
          </cell>
          <cell r="S31">
            <v>50</v>
          </cell>
        </row>
        <row r="32">
          <cell r="C32" t="str">
            <v>CharlesKeith</v>
          </cell>
          <cell r="D32"/>
          <cell r="E32"/>
          <cell r="F32">
            <v>224</v>
          </cell>
          <cell r="G32">
            <v>262</v>
          </cell>
          <cell r="H32">
            <v>273</v>
          </cell>
          <cell r="I32">
            <v>271</v>
          </cell>
          <cell r="J32">
            <v>265</v>
          </cell>
          <cell r="K32">
            <v>263</v>
          </cell>
          <cell r="L32">
            <v>277</v>
          </cell>
          <cell r="M32">
            <v>272</v>
          </cell>
          <cell r="N32">
            <v>268</v>
          </cell>
          <cell r="O32">
            <v>263</v>
          </cell>
          <cell r="P32">
            <v>257</v>
          </cell>
          <cell r="Q32">
            <v>258</v>
          </cell>
          <cell r="R32">
            <v>258</v>
          </cell>
          <cell r="S32">
            <v>245</v>
          </cell>
        </row>
        <row r="33">
          <cell r="C33" t="str">
            <v>Accessible Luxury</v>
          </cell>
          <cell r="F33">
            <v>541</v>
          </cell>
          <cell r="G33">
            <v>587</v>
          </cell>
          <cell r="H33">
            <v>572</v>
          </cell>
          <cell r="I33">
            <v>579</v>
          </cell>
          <cell r="J33">
            <v>589</v>
          </cell>
          <cell r="K33">
            <v>606</v>
          </cell>
          <cell r="L33">
            <v>624</v>
          </cell>
          <cell r="M33">
            <v>616</v>
          </cell>
          <cell r="N33">
            <v>621</v>
          </cell>
          <cell r="O33">
            <v>612</v>
          </cell>
          <cell r="P33">
            <v>601</v>
          </cell>
          <cell r="Q33">
            <v>606</v>
          </cell>
          <cell r="R33">
            <v>610</v>
          </cell>
          <cell r="S33">
            <v>589</v>
          </cell>
        </row>
        <row r="34">
          <cell r="C34"/>
          <cell r="D34"/>
          <cell r="E34"/>
          <cell r="F34"/>
          <cell r="H34"/>
          <cell r="I34"/>
          <cell r="J34"/>
          <cell r="K34"/>
          <cell r="L34"/>
          <cell r="M34"/>
          <cell r="N34"/>
          <cell r="O34"/>
          <cell r="P34"/>
          <cell r="Q34"/>
          <cell r="R34"/>
          <cell r="S34"/>
        </row>
        <row r="35">
          <cell r="C35" t="str">
            <v>Hugo Boss</v>
          </cell>
          <cell r="D35"/>
          <cell r="E35"/>
          <cell r="F35">
            <v>102</v>
          </cell>
          <cell r="G35">
            <v>116</v>
          </cell>
          <cell r="H35">
            <v>116</v>
          </cell>
          <cell r="I35">
            <v>121</v>
          </cell>
          <cell r="J35">
            <v>122</v>
          </cell>
          <cell r="K35">
            <v>122</v>
          </cell>
          <cell r="L35">
            <v>115</v>
          </cell>
          <cell r="M35">
            <v>116</v>
          </cell>
          <cell r="N35">
            <v>114</v>
          </cell>
          <cell r="O35">
            <v>117</v>
          </cell>
          <cell r="P35">
            <v>114</v>
          </cell>
          <cell r="Q35">
            <v>112</v>
          </cell>
          <cell r="R35">
            <v>112</v>
          </cell>
          <cell r="S35">
            <v>108</v>
          </cell>
        </row>
        <row r="36">
          <cell r="C36" t="str">
            <v>Men's</v>
          </cell>
          <cell r="D36"/>
          <cell r="E36"/>
          <cell r="F36">
            <v>102</v>
          </cell>
          <cell r="G36">
            <v>116</v>
          </cell>
          <cell r="H36">
            <v>116</v>
          </cell>
          <cell r="I36">
            <v>121</v>
          </cell>
          <cell r="J36">
            <v>122</v>
          </cell>
          <cell r="K36">
            <v>122</v>
          </cell>
          <cell r="L36">
            <v>115</v>
          </cell>
          <cell r="M36">
            <v>116</v>
          </cell>
          <cell r="N36">
            <v>114</v>
          </cell>
          <cell r="O36">
            <v>117</v>
          </cell>
          <cell r="P36">
            <v>114</v>
          </cell>
          <cell r="Q36">
            <v>112</v>
          </cell>
          <cell r="R36">
            <v>112</v>
          </cell>
          <cell r="S36">
            <v>108</v>
          </cell>
        </row>
        <row r="37">
          <cell r="C37"/>
          <cell r="D37"/>
          <cell r="E37"/>
          <cell r="F37"/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</row>
        <row r="38">
          <cell r="C38" t="str">
            <v>AcneStudio</v>
          </cell>
          <cell r="F38">
            <v>9</v>
          </cell>
          <cell r="G38">
            <v>9</v>
          </cell>
          <cell r="H38">
            <v>10</v>
          </cell>
          <cell r="I38">
            <v>10</v>
          </cell>
          <cell r="J38">
            <v>10</v>
          </cell>
          <cell r="K38">
            <v>10</v>
          </cell>
          <cell r="L38">
            <v>11</v>
          </cell>
          <cell r="M38">
            <v>11</v>
          </cell>
          <cell r="N38">
            <v>12</v>
          </cell>
          <cell r="O38">
            <v>12</v>
          </cell>
          <cell r="P38">
            <v>14</v>
          </cell>
          <cell r="Q38">
            <v>15</v>
          </cell>
          <cell r="R38">
            <v>14</v>
          </cell>
          <cell r="S38">
            <v>14</v>
          </cell>
        </row>
        <row r="39">
          <cell r="C39" t="str">
            <v>Sandro</v>
          </cell>
          <cell r="F39">
            <v>66</v>
          </cell>
          <cell r="G39">
            <v>74</v>
          </cell>
          <cell r="H39">
            <v>93</v>
          </cell>
          <cell r="I39">
            <v>96</v>
          </cell>
          <cell r="J39">
            <v>99</v>
          </cell>
          <cell r="K39">
            <v>97</v>
          </cell>
          <cell r="L39">
            <v>80</v>
          </cell>
          <cell r="M39">
            <v>80</v>
          </cell>
          <cell r="N39">
            <v>81</v>
          </cell>
          <cell r="O39">
            <v>83</v>
          </cell>
          <cell r="P39">
            <v>81</v>
          </cell>
          <cell r="Q39">
            <v>81</v>
          </cell>
          <cell r="R39">
            <v>80</v>
          </cell>
          <cell r="S39">
            <v>74</v>
          </cell>
        </row>
        <row r="40">
          <cell r="C40" t="str">
            <v>Maje</v>
          </cell>
          <cell r="D40"/>
          <cell r="E40"/>
          <cell r="F40">
            <v>66</v>
          </cell>
          <cell r="G40">
            <v>67</v>
          </cell>
          <cell r="H40">
            <v>79</v>
          </cell>
          <cell r="I40">
            <v>82</v>
          </cell>
          <cell r="J40">
            <v>86</v>
          </cell>
          <cell r="K40">
            <v>84</v>
          </cell>
          <cell r="L40">
            <v>76</v>
          </cell>
          <cell r="M40">
            <v>76</v>
          </cell>
          <cell r="N40">
            <v>78</v>
          </cell>
          <cell r="O40">
            <v>76</v>
          </cell>
          <cell r="P40">
            <v>77</v>
          </cell>
          <cell r="Q40">
            <v>77</v>
          </cell>
          <cell r="R40">
            <v>76</v>
          </cell>
          <cell r="S40">
            <v>68</v>
          </cell>
        </row>
        <row r="41">
          <cell r="C41" t="str">
            <v>RTW</v>
          </cell>
          <cell r="D41"/>
          <cell r="E41"/>
          <cell r="F41">
            <v>141</v>
          </cell>
          <cell r="G41">
            <v>150</v>
          </cell>
          <cell r="H41">
            <v>182</v>
          </cell>
          <cell r="I41">
            <v>188</v>
          </cell>
          <cell r="J41">
            <v>195</v>
          </cell>
          <cell r="K41">
            <v>191</v>
          </cell>
          <cell r="L41">
            <v>167</v>
          </cell>
          <cell r="M41">
            <v>167</v>
          </cell>
          <cell r="N41">
            <v>171</v>
          </cell>
          <cell r="O41">
            <v>171</v>
          </cell>
          <cell r="P41">
            <v>172</v>
          </cell>
          <cell r="Q41">
            <v>173</v>
          </cell>
          <cell r="R41">
            <v>170</v>
          </cell>
          <cell r="S41">
            <v>156</v>
          </cell>
        </row>
        <row r="42">
          <cell r="C42" t="str">
            <v xml:space="preserve">Competitors Total </v>
          </cell>
          <cell r="D42"/>
          <cell r="E42"/>
          <cell r="F42"/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</row>
        <row r="43">
          <cell r="C43"/>
          <cell r="D43"/>
          <cell r="E43"/>
          <cell r="F43"/>
          <cell r="H43"/>
          <cell r="I43"/>
          <cell r="J43"/>
          <cell r="K43"/>
          <cell r="L43"/>
          <cell r="M43"/>
          <cell r="N43"/>
          <cell r="O43"/>
          <cell r="P43"/>
          <cell r="Q43"/>
          <cell r="R43"/>
          <cell r="S43"/>
        </row>
        <row r="44">
          <cell r="C44" t="str">
            <v>Competitor excl. Big Three</v>
          </cell>
          <cell r="D44"/>
          <cell r="E44"/>
          <cell r="F44"/>
          <cell r="G44"/>
          <cell r="H44"/>
          <cell r="I44"/>
          <cell r="J44"/>
          <cell r="K44"/>
          <cell r="L44"/>
          <cell r="M44"/>
          <cell r="N44"/>
          <cell r="O44"/>
          <cell r="P44"/>
          <cell r="Q44"/>
          <cell r="R44"/>
          <cell r="S44"/>
        </row>
        <row r="45">
          <cell r="C45" t="str">
            <v>Lancome</v>
          </cell>
          <cell r="H45"/>
          <cell r="I45"/>
          <cell r="J45"/>
          <cell r="K45"/>
          <cell r="L45"/>
          <cell r="M45"/>
          <cell r="N45"/>
          <cell r="O45"/>
          <cell r="P45"/>
          <cell r="Q45"/>
          <cell r="R45"/>
          <cell r="S45"/>
        </row>
        <row r="46">
          <cell r="J46"/>
          <cell r="K46"/>
          <cell r="L46"/>
          <cell r="M46"/>
          <cell r="N46"/>
          <cell r="O46"/>
          <cell r="P46"/>
          <cell r="Q46"/>
          <cell r="R46"/>
          <cell r="S46"/>
        </row>
        <row r="47">
          <cell r="F47"/>
          <cell r="G47"/>
          <cell r="H47"/>
          <cell r="I47"/>
          <cell r="J47"/>
          <cell r="K47"/>
          <cell r="L47"/>
          <cell r="M47"/>
          <cell r="N47"/>
          <cell r="O47"/>
          <cell r="P47"/>
          <cell r="Q47"/>
          <cell r="R47"/>
          <cell r="S47"/>
        </row>
        <row r="48">
          <cell r="F48"/>
          <cell r="G48"/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</row>
        <row r="49">
          <cell r="C49"/>
          <cell r="D49"/>
          <cell r="E49"/>
          <cell r="F49"/>
          <cell r="G49"/>
          <cell r="H49"/>
          <cell r="I49"/>
          <cell r="J49"/>
          <cell r="K49"/>
          <cell r="L49"/>
          <cell r="M49"/>
          <cell r="N49"/>
          <cell r="O49"/>
          <cell r="P49"/>
          <cell r="Q49"/>
          <cell r="R49"/>
          <cell r="S49"/>
        </row>
        <row r="50">
          <cell r="C50" t="str">
            <v>MCM comp +112% is mainly driven by BJ SKP anniversary, Apr store sales seeing 10 times of previous month.</v>
          </cell>
          <cell r="D50"/>
          <cell r="E50"/>
          <cell r="F50"/>
        </row>
        <row r="51">
          <cell r="C51"/>
          <cell r="D51"/>
          <cell r="E51"/>
          <cell r="F51"/>
        </row>
        <row r="55">
          <cell r="C55"/>
          <cell r="D55"/>
          <cell r="E55"/>
          <cell r="F55"/>
          <cell r="G55"/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</row>
      </sheetData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P"/>
      <sheetName val="Sheet1"/>
    </sheetNames>
    <sheetDataSet>
      <sheetData sheetId="0">
        <row r="1">
          <cell r="C1"/>
          <cell r="D1"/>
          <cell r="E1"/>
          <cell r="F1"/>
          <cell r="G1"/>
          <cell r="J1"/>
          <cell r="K1"/>
          <cell r="L1"/>
          <cell r="M1"/>
          <cell r="N1"/>
          <cell r="O1"/>
          <cell r="P1"/>
          <cell r="Q1"/>
          <cell r="R1"/>
          <cell r="S1"/>
          <cell r="T1"/>
        </row>
        <row r="2">
          <cell r="F2"/>
          <cell r="G2"/>
          <cell r="J2"/>
          <cell r="K2"/>
          <cell r="L2"/>
          <cell r="M2"/>
          <cell r="N2"/>
          <cell r="O2"/>
          <cell r="P2"/>
          <cell r="Q2"/>
          <cell r="R2"/>
          <cell r="S2"/>
          <cell r="T2"/>
        </row>
        <row r="3">
          <cell r="C3"/>
          <cell r="D3"/>
          <cell r="E3"/>
          <cell r="F3"/>
          <cell r="G3"/>
          <cell r="J3"/>
          <cell r="K3"/>
          <cell r="L3"/>
          <cell r="M3"/>
          <cell r="N3"/>
          <cell r="O3"/>
          <cell r="P3"/>
          <cell r="Q3"/>
          <cell r="R3"/>
          <cell r="S3"/>
          <cell r="T3"/>
        </row>
        <row r="4">
          <cell r="C4"/>
          <cell r="D4"/>
          <cell r="E4"/>
          <cell r="F4"/>
          <cell r="G4"/>
          <cell r="J4"/>
          <cell r="K4"/>
          <cell r="L4"/>
          <cell r="M4"/>
          <cell r="N4"/>
          <cell r="O4"/>
          <cell r="P4"/>
          <cell r="Q4"/>
          <cell r="R4"/>
          <cell r="S4"/>
          <cell r="T4"/>
        </row>
        <row r="5">
          <cell r="C5"/>
          <cell r="D5" t="str">
            <v>Store count 
FY21 Q1</v>
          </cell>
          <cell r="E5" t="str">
            <v>Store count 
FY21 Q2</v>
          </cell>
          <cell r="F5" t="str">
            <v>Store count 
FY21 Q3</v>
          </cell>
          <cell r="G5" t="str">
            <v>Store count 
FY21 Q4</v>
          </cell>
          <cell r="H5" t="str">
            <v>Store Count 
FY22 Q1</v>
          </cell>
          <cell r="I5" t="str">
            <v>Store count
FY22 Q2</v>
          </cell>
          <cell r="J5" t="str">
            <v>Store count
FY22 Q3</v>
          </cell>
          <cell r="K5" t="str">
            <v>Store count
FY22 Q4</v>
          </cell>
          <cell r="L5" t="str">
            <v>Store count
FY23 Q1</v>
          </cell>
          <cell r="M5" t="str">
            <v>Store Count
FY23 Q2</v>
          </cell>
          <cell r="N5" t="str">
            <v>Store Count
FY23 Q3</v>
          </cell>
          <cell r="O5" t="str">
            <v>Store Count
FY23 Q4</v>
          </cell>
          <cell r="P5" t="str">
            <v>Store Count FY24 Q1</v>
          </cell>
          <cell r="Q5" t="str">
            <v>Store Count
FY24 Q2</v>
          </cell>
          <cell r="R5" t="str">
            <v>Store Count
FY24 Q3</v>
          </cell>
          <cell r="S5" t="str">
            <v>Store Count
FY24 Q4</v>
          </cell>
          <cell r="T5" t="str">
            <v>Store Count
FY25 Q1</v>
          </cell>
        </row>
        <row r="6">
          <cell r="F6"/>
          <cell r="H6"/>
          <cell r="I6"/>
          <cell r="J6"/>
          <cell r="K6"/>
          <cell r="L6"/>
          <cell r="M6"/>
          <cell r="N6"/>
          <cell r="O6"/>
          <cell r="P6"/>
          <cell r="Q6"/>
          <cell r="R6"/>
          <cell r="S6"/>
          <cell r="T6"/>
        </row>
        <row r="7">
          <cell r="C7" t="str">
            <v>Competitors</v>
          </cell>
          <cell r="D7"/>
          <cell r="E7"/>
          <cell r="F7"/>
          <cell r="H7"/>
          <cell r="I7"/>
          <cell r="J7"/>
          <cell r="K7"/>
          <cell r="L7"/>
          <cell r="M7"/>
          <cell r="N7"/>
          <cell r="O7"/>
          <cell r="P7"/>
          <cell r="Q7"/>
          <cell r="R7"/>
          <cell r="S7"/>
          <cell r="T7"/>
        </row>
        <row r="8">
          <cell r="C8" t="str">
            <v>LV</v>
          </cell>
          <cell r="F8">
            <v>43</v>
          </cell>
          <cell r="G8">
            <v>56</v>
          </cell>
          <cell r="H8">
            <v>57</v>
          </cell>
          <cell r="I8">
            <v>58</v>
          </cell>
          <cell r="J8">
            <v>60</v>
          </cell>
          <cell r="K8">
            <v>60</v>
          </cell>
          <cell r="L8">
            <v>61</v>
          </cell>
          <cell r="M8">
            <v>64</v>
          </cell>
          <cell r="N8">
            <v>64</v>
          </cell>
          <cell r="O8">
            <v>64</v>
          </cell>
          <cell r="P8">
            <v>64</v>
          </cell>
          <cell r="Q8">
            <v>65</v>
          </cell>
          <cell r="R8">
            <v>67</v>
          </cell>
          <cell r="S8">
            <v>67</v>
          </cell>
          <cell r="T8">
            <v>68</v>
          </cell>
        </row>
        <row r="9">
          <cell r="C9" t="str">
            <v>Gucci</v>
          </cell>
          <cell r="D9"/>
          <cell r="E9"/>
          <cell r="F9">
            <v>51</v>
          </cell>
          <cell r="G9">
            <v>58</v>
          </cell>
          <cell r="H9">
            <v>59</v>
          </cell>
          <cell r="I9">
            <v>70</v>
          </cell>
          <cell r="J9">
            <v>74</v>
          </cell>
          <cell r="K9">
            <v>73</v>
          </cell>
          <cell r="L9">
            <v>76</v>
          </cell>
          <cell r="M9">
            <v>81</v>
          </cell>
          <cell r="N9">
            <v>79</v>
          </cell>
          <cell r="O9">
            <v>80</v>
          </cell>
          <cell r="P9">
            <v>85</v>
          </cell>
          <cell r="Q9">
            <v>85</v>
          </cell>
          <cell r="R9">
            <v>86</v>
          </cell>
          <cell r="S9">
            <v>87</v>
          </cell>
          <cell r="T9">
            <v>84</v>
          </cell>
        </row>
        <row r="10">
          <cell r="C10" t="str">
            <v>Dior</v>
          </cell>
          <cell r="D10"/>
          <cell r="E10"/>
          <cell r="F10">
            <v>26</v>
          </cell>
          <cell r="G10">
            <v>34</v>
          </cell>
          <cell r="H10">
            <v>37</v>
          </cell>
          <cell r="I10">
            <v>30</v>
          </cell>
          <cell r="J10">
            <v>32</v>
          </cell>
          <cell r="K10">
            <v>32</v>
          </cell>
          <cell r="L10">
            <v>32</v>
          </cell>
          <cell r="M10">
            <v>37</v>
          </cell>
          <cell r="N10">
            <v>37</v>
          </cell>
          <cell r="O10">
            <v>37</v>
          </cell>
          <cell r="P10">
            <v>37</v>
          </cell>
          <cell r="Q10">
            <v>39</v>
          </cell>
          <cell r="R10">
            <v>40</v>
          </cell>
          <cell r="S10">
            <v>39</v>
          </cell>
          <cell r="T10">
            <v>39</v>
          </cell>
        </row>
        <row r="11">
          <cell r="C11" t="str">
            <v>Big Three Luxury Brands</v>
          </cell>
          <cell r="F11">
            <v>120</v>
          </cell>
          <cell r="G11">
            <v>148</v>
          </cell>
          <cell r="H11">
            <v>153</v>
          </cell>
          <cell r="I11">
            <v>158</v>
          </cell>
          <cell r="J11">
            <v>166</v>
          </cell>
          <cell r="K11">
            <v>165</v>
          </cell>
          <cell r="L11">
            <v>169</v>
          </cell>
          <cell r="M11">
            <v>182</v>
          </cell>
          <cell r="N11">
            <v>180</v>
          </cell>
          <cell r="O11">
            <v>181</v>
          </cell>
          <cell r="P11">
            <v>186</v>
          </cell>
          <cell r="Q11">
            <v>189</v>
          </cell>
          <cell r="R11">
            <v>193</v>
          </cell>
          <cell r="S11">
            <v>193</v>
          </cell>
          <cell r="T11">
            <v>191</v>
          </cell>
        </row>
        <row r="12">
          <cell r="F12"/>
          <cell r="G12"/>
          <cell r="H12"/>
          <cell r="I12"/>
          <cell r="J12"/>
          <cell r="K12"/>
          <cell r="L12"/>
          <cell r="M12"/>
          <cell r="N12"/>
          <cell r="O12"/>
          <cell r="P12"/>
          <cell r="Q12"/>
          <cell r="R12"/>
          <cell r="S12"/>
          <cell r="T12"/>
        </row>
        <row r="13">
          <cell r="C13" t="str">
            <v>Chanel</v>
          </cell>
          <cell r="D13"/>
          <cell r="E13"/>
          <cell r="F13">
            <v>15</v>
          </cell>
          <cell r="G13">
            <v>15</v>
          </cell>
          <cell r="H13">
            <v>15</v>
          </cell>
          <cell r="I13">
            <v>15</v>
          </cell>
          <cell r="J13">
            <v>15</v>
          </cell>
          <cell r="K13">
            <v>15</v>
          </cell>
          <cell r="L13">
            <v>15</v>
          </cell>
          <cell r="M13">
            <v>16</v>
          </cell>
          <cell r="N13">
            <v>16</v>
          </cell>
          <cell r="O13">
            <v>16</v>
          </cell>
          <cell r="P13">
            <v>16</v>
          </cell>
          <cell r="Q13">
            <v>17</v>
          </cell>
          <cell r="R13">
            <v>18</v>
          </cell>
          <cell r="S13">
            <v>18</v>
          </cell>
          <cell r="T13">
            <v>19</v>
          </cell>
        </row>
        <row r="14">
          <cell r="C14" t="str">
            <v>Burberry</v>
          </cell>
          <cell r="D14"/>
          <cell r="E14"/>
          <cell r="F14">
            <v>62</v>
          </cell>
          <cell r="G14">
            <v>61</v>
          </cell>
          <cell r="H14">
            <v>73</v>
          </cell>
          <cell r="I14">
            <v>70</v>
          </cell>
          <cell r="J14">
            <v>70</v>
          </cell>
          <cell r="K14">
            <v>65</v>
          </cell>
          <cell r="L14">
            <v>67</v>
          </cell>
          <cell r="M14">
            <v>65</v>
          </cell>
          <cell r="N14">
            <v>65</v>
          </cell>
          <cell r="O14">
            <v>70</v>
          </cell>
          <cell r="P14">
            <v>71</v>
          </cell>
          <cell r="Q14">
            <v>69</v>
          </cell>
          <cell r="R14">
            <v>70</v>
          </cell>
          <cell r="S14">
            <v>71</v>
          </cell>
          <cell r="T14">
            <v>69</v>
          </cell>
        </row>
        <row r="15">
          <cell r="C15" t="str">
            <v>Prada</v>
          </cell>
          <cell r="F15">
            <v>35</v>
          </cell>
          <cell r="G15">
            <v>36</v>
          </cell>
          <cell r="H15">
            <v>36</v>
          </cell>
          <cell r="I15">
            <v>36</v>
          </cell>
          <cell r="J15">
            <v>37</v>
          </cell>
          <cell r="K15">
            <v>38</v>
          </cell>
          <cell r="L15">
            <v>36</v>
          </cell>
          <cell r="M15">
            <v>38</v>
          </cell>
          <cell r="N15">
            <v>34</v>
          </cell>
          <cell r="O15">
            <v>38</v>
          </cell>
          <cell r="P15">
            <v>37</v>
          </cell>
          <cell r="Q15">
            <v>36</v>
          </cell>
          <cell r="R15">
            <v>35</v>
          </cell>
          <cell r="S15">
            <v>35</v>
          </cell>
          <cell r="T15">
            <v>32</v>
          </cell>
        </row>
        <row r="16">
          <cell r="C16" t="str">
            <v>Hermes</v>
          </cell>
          <cell r="D16"/>
          <cell r="E16"/>
          <cell r="F16">
            <v>28</v>
          </cell>
          <cell r="G16">
            <v>26</v>
          </cell>
          <cell r="H16">
            <v>26</v>
          </cell>
          <cell r="I16">
            <v>29</v>
          </cell>
          <cell r="J16">
            <v>29</v>
          </cell>
          <cell r="K16">
            <v>29</v>
          </cell>
          <cell r="L16">
            <v>29</v>
          </cell>
          <cell r="M16">
            <v>29</v>
          </cell>
          <cell r="N16">
            <v>29</v>
          </cell>
          <cell r="O16">
            <v>30</v>
          </cell>
          <cell r="P16">
            <v>31</v>
          </cell>
          <cell r="Q16">
            <v>32</v>
          </cell>
          <cell r="R16">
            <v>34</v>
          </cell>
          <cell r="S16">
            <v>34</v>
          </cell>
          <cell r="T16">
            <v>34</v>
          </cell>
        </row>
        <row r="17">
          <cell r="C17" t="str">
            <v>Bottega Veneta</v>
          </cell>
          <cell r="D17"/>
          <cell r="E17"/>
          <cell r="F17">
            <v>42</v>
          </cell>
          <cell r="G17">
            <v>38</v>
          </cell>
          <cell r="H17">
            <v>37</v>
          </cell>
          <cell r="I17">
            <v>41</v>
          </cell>
          <cell r="J17">
            <v>41</v>
          </cell>
          <cell r="K17">
            <v>42</v>
          </cell>
          <cell r="L17">
            <v>41</v>
          </cell>
          <cell r="M17">
            <v>44</v>
          </cell>
          <cell r="N17">
            <v>46</v>
          </cell>
          <cell r="O17">
            <v>46</v>
          </cell>
          <cell r="P17">
            <v>47</v>
          </cell>
          <cell r="Q17">
            <v>47</v>
          </cell>
          <cell r="R17">
            <v>47</v>
          </cell>
          <cell r="S17">
            <v>48</v>
          </cell>
          <cell r="T17">
            <v>49</v>
          </cell>
        </row>
        <row r="18">
          <cell r="C18" t="str">
            <v>Balenciaga</v>
          </cell>
          <cell r="F18">
            <v>33</v>
          </cell>
          <cell r="G18">
            <v>33</v>
          </cell>
          <cell r="H18">
            <v>34</v>
          </cell>
          <cell r="I18">
            <v>36</v>
          </cell>
          <cell r="J18">
            <v>38</v>
          </cell>
          <cell r="K18">
            <v>38</v>
          </cell>
          <cell r="L18">
            <v>43</v>
          </cell>
          <cell r="M18">
            <v>45</v>
          </cell>
          <cell r="N18">
            <v>45</v>
          </cell>
          <cell r="O18">
            <v>45</v>
          </cell>
          <cell r="P18">
            <v>47</v>
          </cell>
          <cell r="Q18">
            <v>46</v>
          </cell>
          <cell r="R18">
            <v>47</v>
          </cell>
          <cell r="S18">
            <v>48</v>
          </cell>
          <cell r="T18">
            <v>48</v>
          </cell>
        </row>
        <row r="19">
          <cell r="C19" t="str">
            <v>Fendi</v>
          </cell>
          <cell r="D19"/>
          <cell r="E19"/>
          <cell r="F19">
            <v>26</v>
          </cell>
          <cell r="G19">
            <v>28</v>
          </cell>
          <cell r="H19">
            <v>28</v>
          </cell>
          <cell r="I19">
            <v>37</v>
          </cell>
          <cell r="J19">
            <v>37</v>
          </cell>
          <cell r="K19">
            <v>38</v>
          </cell>
          <cell r="L19">
            <v>38</v>
          </cell>
          <cell r="M19">
            <v>40</v>
          </cell>
          <cell r="N19">
            <v>41</v>
          </cell>
          <cell r="O19">
            <v>41</v>
          </cell>
          <cell r="P19">
            <v>43</v>
          </cell>
          <cell r="Q19">
            <v>43</v>
          </cell>
          <cell r="R19">
            <v>45</v>
          </cell>
          <cell r="S19">
            <v>45</v>
          </cell>
          <cell r="T19">
            <v>46</v>
          </cell>
        </row>
        <row r="20">
          <cell r="C20" t="str">
            <v>Saint Laurent</v>
          </cell>
          <cell r="F20">
            <v>34</v>
          </cell>
          <cell r="G20">
            <v>42</v>
          </cell>
          <cell r="H20">
            <v>43</v>
          </cell>
          <cell r="I20">
            <v>43</v>
          </cell>
          <cell r="J20">
            <v>46</v>
          </cell>
          <cell r="K20">
            <v>45</v>
          </cell>
          <cell r="L20">
            <v>44</v>
          </cell>
          <cell r="M20">
            <v>46</v>
          </cell>
          <cell r="N20">
            <v>45</v>
          </cell>
          <cell r="O20">
            <v>45</v>
          </cell>
          <cell r="P20">
            <v>45</v>
          </cell>
          <cell r="Q20">
            <v>46</v>
          </cell>
          <cell r="R20">
            <v>47</v>
          </cell>
          <cell r="S20">
            <v>49</v>
          </cell>
          <cell r="T20">
            <v>49</v>
          </cell>
        </row>
        <row r="21">
          <cell r="C21" t="str">
            <v>Valentino</v>
          </cell>
          <cell r="F21">
            <v>25</v>
          </cell>
          <cell r="G21">
            <v>31</v>
          </cell>
          <cell r="H21">
            <v>31</v>
          </cell>
          <cell r="I21">
            <v>30</v>
          </cell>
          <cell r="J21">
            <v>32</v>
          </cell>
          <cell r="K21">
            <v>27</v>
          </cell>
          <cell r="L21">
            <v>30</v>
          </cell>
          <cell r="M21">
            <v>32</v>
          </cell>
          <cell r="N21">
            <v>31</v>
          </cell>
          <cell r="O21">
            <v>32</v>
          </cell>
          <cell r="P21">
            <v>32</v>
          </cell>
          <cell r="Q21">
            <v>33</v>
          </cell>
          <cell r="R21">
            <v>34</v>
          </cell>
          <cell r="S21">
            <v>34</v>
          </cell>
          <cell r="T21">
            <v>36</v>
          </cell>
        </row>
        <row r="22">
          <cell r="C22" t="str">
            <v>Stuart Weitzman</v>
          </cell>
          <cell r="F22">
            <v>48</v>
          </cell>
          <cell r="G22">
            <v>52</v>
          </cell>
          <cell r="H22">
            <v>54</v>
          </cell>
          <cell r="I22">
            <v>45</v>
          </cell>
          <cell r="J22">
            <v>45</v>
          </cell>
          <cell r="K22">
            <v>46</v>
          </cell>
          <cell r="L22">
            <v>46</v>
          </cell>
          <cell r="M22">
            <v>47</v>
          </cell>
          <cell r="N22">
            <v>49</v>
          </cell>
          <cell r="O22">
            <v>57</v>
          </cell>
          <cell r="P22">
            <v>52</v>
          </cell>
          <cell r="Q22">
            <v>45</v>
          </cell>
          <cell r="R22">
            <v>45</v>
          </cell>
          <cell r="S22">
            <v>44</v>
          </cell>
          <cell r="T22">
            <v>45</v>
          </cell>
        </row>
        <row r="23">
          <cell r="C23" t="str">
            <v>Loewe</v>
          </cell>
          <cell r="D23"/>
          <cell r="E23"/>
          <cell r="F23"/>
          <cell r="G23"/>
          <cell r="H23"/>
          <cell r="I23"/>
          <cell r="J23"/>
          <cell r="K23">
            <v>30</v>
          </cell>
          <cell r="L23">
            <v>30</v>
          </cell>
          <cell r="M23">
            <v>31</v>
          </cell>
          <cell r="N23">
            <v>31</v>
          </cell>
          <cell r="O23">
            <v>29</v>
          </cell>
          <cell r="P23">
            <v>30</v>
          </cell>
          <cell r="Q23">
            <v>30</v>
          </cell>
          <cell r="R23">
            <v>30</v>
          </cell>
          <cell r="S23">
            <v>30</v>
          </cell>
          <cell r="T23">
            <v>31</v>
          </cell>
        </row>
        <row r="24">
          <cell r="C24" t="str">
            <v>Other Luxury</v>
          </cell>
          <cell r="F24">
            <v>348</v>
          </cell>
          <cell r="G24">
            <v>362</v>
          </cell>
          <cell r="H24">
            <v>377</v>
          </cell>
          <cell r="I24">
            <v>382</v>
          </cell>
          <cell r="J24">
            <v>390</v>
          </cell>
          <cell r="K24">
            <v>413</v>
          </cell>
          <cell r="L24">
            <v>419</v>
          </cell>
          <cell r="M24">
            <v>433</v>
          </cell>
          <cell r="N24">
            <v>432</v>
          </cell>
          <cell r="O24">
            <v>449</v>
          </cell>
          <cell r="P24">
            <v>451</v>
          </cell>
          <cell r="Q24">
            <v>444</v>
          </cell>
          <cell r="R24">
            <v>452</v>
          </cell>
          <cell r="S24">
            <v>456</v>
          </cell>
          <cell r="T24">
            <v>458</v>
          </cell>
        </row>
        <row r="25">
          <cell r="C25"/>
          <cell r="D25"/>
          <cell r="E25"/>
          <cell r="F25"/>
          <cell r="H25"/>
          <cell r="I25"/>
          <cell r="J25"/>
          <cell r="K25"/>
          <cell r="L25"/>
          <cell r="M25"/>
          <cell r="N25"/>
          <cell r="O25"/>
          <cell r="P25"/>
          <cell r="Q25"/>
          <cell r="R25"/>
          <cell r="S25"/>
          <cell r="T25"/>
        </row>
        <row r="26">
          <cell r="C26" t="str">
            <v>Longchamp</v>
          </cell>
          <cell r="F26">
            <v>21</v>
          </cell>
          <cell r="G26">
            <v>25</v>
          </cell>
          <cell r="H26">
            <v>26</v>
          </cell>
          <cell r="I26">
            <v>27</v>
          </cell>
          <cell r="J26">
            <v>27</v>
          </cell>
          <cell r="K26">
            <v>28</v>
          </cell>
          <cell r="L26">
            <v>31</v>
          </cell>
          <cell r="M26">
            <v>33</v>
          </cell>
          <cell r="N26">
            <v>34</v>
          </cell>
          <cell r="O26">
            <v>35</v>
          </cell>
          <cell r="P26">
            <v>35</v>
          </cell>
          <cell r="Q26">
            <v>35</v>
          </cell>
          <cell r="R26">
            <v>38</v>
          </cell>
          <cell r="S26">
            <v>35</v>
          </cell>
          <cell r="T26">
            <v>37</v>
          </cell>
        </row>
        <row r="27">
          <cell r="C27" t="str">
            <v>Furla</v>
          </cell>
          <cell r="D27"/>
          <cell r="E27"/>
          <cell r="F27">
            <v>67</v>
          </cell>
          <cell r="G27">
            <v>62</v>
          </cell>
          <cell r="H27">
            <v>50</v>
          </cell>
          <cell r="I27">
            <v>57</v>
          </cell>
          <cell r="J27">
            <v>63</v>
          </cell>
          <cell r="K27">
            <v>63</v>
          </cell>
          <cell r="L27">
            <v>64</v>
          </cell>
          <cell r="M27">
            <v>63</v>
          </cell>
          <cell r="N27">
            <v>65</v>
          </cell>
          <cell r="O27">
            <v>57</v>
          </cell>
          <cell r="P27">
            <v>58</v>
          </cell>
          <cell r="Q27">
            <v>58</v>
          </cell>
          <cell r="R27">
            <v>58</v>
          </cell>
          <cell r="S27">
            <v>59</v>
          </cell>
          <cell r="T27">
            <v>59</v>
          </cell>
        </row>
        <row r="28">
          <cell r="C28" t="str">
            <v>Kate Spade</v>
          </cell>
          <cell r="D28"/>
          <cell r="E28"/>
          <cell r="F28">
            <v>31</v>
          </cell>
          <cell r="G28">
            <v>29</v>
          </cell>
          <cell r="H28">
            <v>26</v>
          </cell>
          <cell r="I28">
            <v>25</v>
          </cell>
          <cell r="J28">
            <v>24</v>
          </cell>
          <cell r="K28">
            <v>23</v>
          </cell>
          <cell r="L28">
            <v>21</v>
          </cell>
          <cell r="M28">
            <v>21</v>
          </cell>
          <cell r="N28">
            <v>22</v>
          </cell>
          <cell r="O28">
            <v>21</v>
          </cell>
          <cell r="P28">
            <v>22</v>
          </cell>
          <cell r="Q28">
            <v>22</v>
          </cell>
          <cell r="R28">
            <v>22</v>
          </cell>
          <cell r="S28">
            <v>21</v>
          </cell>
          <cell r="T28">
            <v>21</v>
          </cell>
        </row>
        <row r="29">
          <cell r="C29" t="str">
            <v>Tory Burch</v>
          </cell>
          <cell r="F29">
            <v>34</v>
          </cell>
          <cell r="G29">
            <v>45</v>
          </cell>
          <cell r="H29">
            <v>39</v>
          </cell>
          <cell r="I29">
            <v>38</v>
          </cell>
          <cell r="J29">
            <v>37</v>
          </cell>
          <cell r="K29">
            <v>52</v>
          </cell>
          <cell r="L29">
            <v>55</v>
          </cell>
          <cell r="M29">
            <v>55</v>
          </cell>
          <cell r="N29">
            <v>59</v>
          </cell>
          <cell r="O29">
            <v>62</v>
          </cell>
          <cell r="P29">
            <v>61</v>
          </cell>
          <cell r="Q29">
            <v>65</v>
          </cell>
          <cell r="R29">
            <v>71</v>
          </cell>
          <cell r="S29">
            <v>71</v>
          </cell>
          <cell r="T29">
            <v>72</v>
          </cell>
        </row>
        <row r="30">
          <cell r="C30" t="str">
            <v>Michael Kors</v>
          </cell>
          <cell r="F30">
            <v>111</v>
          </cell>
          <cell r="G30">
            <v>111</v>
          </cell>
          <cell r="H30">
            <v>112</v>
          </cell>
          <cell r="I30">
            <v>105</v>
          </cell>
          <cell r="J30">
            <v>108</v>
          </cell>
          <cell r="K30">
            <v>109</v>
          </cell>
          <cell r="L30">
            <v>109</v>
          </cell>
          <cell r="M30">
            <v>112</v>
          </cell>
          <cell r="N30">
            <v>113</v>
          </cell>
          <cell r="O30">
            <v>114</v>
          </cell>
          <cell r="P30">
            <v>109</v>
          </cell>
          <cell r="Q30">
            <v>109</v>
          </cell>
          <cell r="R30">
            <v>112</v>
          </cell>
          <cell r="S30">
            <v>108</v>
          </cell>
          <cell r="T30">
            <v>108</v>
          </cell>
        </row>
        <row r="31">
          <cell r="C31" t="str">
            <v>MCM</v>
          </cell>
          <cell r="F31">
            <v>53</v>
          </cell>
          <cell r="G31">
            <v>53</v>
          </cell>
          <cell r="H31">
            <v>46</v>
          </cell>
          <cell r="I31">
            <v>56</v>
          </cell>
          <cell r="J31">
            <v>65</v>
          </cell>
          <cell r="K31">
            <v>68</v>
          </cell>
          <cell r="L31">
            <v>67</v>
          </cell>
          <cell r="M31">
            <v>60</v>
          </cell>
          <cell r="N31">
            <v>60</v>
          </cell>
          <cell r="O31">
            <v>60</v>
          </cell>
          <cell r="P31">
            <v>59</v>
          </cell>
          <cell r="Q31">
            <v>59</v>
          </cell>
          <cell r="R31">
            <v>51</v>
          </cell>
          <cell r="S31">
            <v>50</v>
          </cell>
          <cell r="T31">
            <v>55</v>
          </cell>
        </row>
        <row r="32">
          <cell r="C32" t="str">
            <v>CharlesKeith</v>
          </cell>
          <cell r="D32"/>
          <cell r="E32"/>
          <cell r="F32">
            <v>224</v>
          </cell>
          <cell r="G32">
            <v>262</v>
          </cell>
          <cell r="H32">
            <v>273</v>
          </cell>
          <cell r="I32">
            <v>271</v>
          </cell>
          <cell r="J32">
            <v>265</v>
          </cell>
          <cell r="K32">
            <v>263</v>
          </cell>
          <cell r="L32">
            <v>277</v>
          </cell>
          <cell r="M32">
            <v>272</v>
          </cell>
          <cell r="N32">
            <v>268</v>
          </cell>
          <cell r="O32">
            <v>263</v>
          </cell>
          <cell r="P32">
            <v>257</v>
          </cell>
          <cell r="Q32">
            <v>258</v>
          </cell>
          <cell r="R32">
            <v>258</v>
          </cell>
          <cell r="S32">
            <v>245</v>
          </cell>
          <cell r="T32">
            <v>251</v>
          </cell>
        </row>
        <row r="33">
          <cell r="C33" t="str">
            <v>Accessible Luxury</v>
          </cell>
          <cell r="F33">
            <v>541</v>
          </cell>
          <cell r="G33">
            <v>587</v>
          </cell>
          <cell r="H33">
            <v>572</v>
          </cell>
          <cell r="I33">
            <v>579</v>
          </cell>
          <cell r="J33">
            <v>589</v>
          </cell>
          <cell r="K33">
            <v>606</v>
          </cell>
          <cell r="L33">
            <v>624</v>
          </cell>
          <cell r="M33">
            <v>616</v>
          </cell>
          <cell r="N33">
            <v>621</v>
          </cell>
          <cell r="O33">
            <v>612</v>
          </cell>
          <cell r="P33">
            <v>601</v>
          </cell>
          <cell r="Q33">
            <v>606</v>
          </cell>
          <cell r="R33">
            <v>610</v>
          </cell>
          <cell r="S33">
            <v>589</v>
          </cell>
          <cell r="T33">
            <v>603</v>
          </cell>
        </row>
        <row r="34">
          <cell r="C34"/>
          <cell r="D34"/>
          <cell r="E34"/>
          <cell r="F34"/>
          <cell r="H34"/>
          <cell r="I34"/>
          <cell r="J34"/>
          <cell r="K34"/>
          <cell r="L34"/>
          <cell r="M34"/>
          <cell r="N34"/>
          <cell r="O34"/>
          <cell r="P34"/>
          <cell r="Q34"/>
          <cell r="R34"/>
          <cell r="S34"/>
          <cell r="T34"/>
        </row>
        <row r="35">
          <cell r="C35" t="str">
            <v>Hugo Boss</v>
          </cell>
          <cell r="D35"/>
          <cell r="E35"/>
          <cell r="F35">
            <v>102</v>
          </cell>
          <cell r="G35">
            <v>116</v>
          </cell>
          <cell r="H35">
            <v>116</v>
          </cell>
          <cell r="I35">
            <v>121</v>
          </cell>
          <cell r="J35">
            <v>122</v>
          </cell>
          <cell r="K35">
            <v>122</v>
          </cell>
          <cell r="L35">
            <v>115</v>
          </cell>
          <cell r="M35">
            <v>116</v>
          </cell>
          <cell r="N35">
            <v>114</v>
          </cell>
          <cell r="O35">
            <v>117</v>
          </cell>
          <cell r="P35">
            <v>114</v>
          </cell>
          <cell r="Q35">
            <v>112</v>
          </cell>
          <cell r="R35">
            <v>112</v>
          </cell>
          <cell r="S35">
            <v>108</v>
          </cell>
          <cell r="T35">
            <v>115</v>
          </cell>
        </row>
        <row r="36">
          <cell r="C36" t="str">
            <v>Men's</v>
          </cell>
          <cell r="D36"/>
          <cell r="E36"/>
          <cell r="F36">
            <v>102</v>
          </cell>
          <cell r="G36">
            <v>116</v>
          </cell>
          <cell r="H36">
            <v>116</v>
          </cell>
          <cell r="I36">
            <v>121</v>
          </cell>
          <cell r="J36">
            <v>122</v>
          </cell>
          <cell r="K36">
            <v>122</v>
          </cell>
          <cell r="L36">
            <v>115</v>
          </cell>
          <cell r="M36">
            <v>116</v>
          </cell>
          <cell r="N36">
            <v>114</v>
          </cell>
          <cell r="O36">
            <v>117</v>
          </cell>
          <cell r="P36">
            <v>114</v>
          </cell>
          <cell r="Q36">
            <v>112</v>
          </cell>
          <cell r="R36">
            <v>112</v>
          </cell>
          <cell r="S36">
            <v>108</v>
          </cell>
          <cell r="T36">
            <v>115</v>
          </cell>
        </row>
        <row r="37">
          <cell r="C37"/>
          <cell r="D37"/>
          <cell r="E37"/>
          <cell r="F37"/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  <cell r="T37"/>
        </row>
        <row r="38">
          <cell r="C38" t="str">
            <v>AcneStudio</v>
          </cell>
          <cell r="F38">
            <v>9</v>
          </cell>
          <cell r="G38">
            <v>9</v>
          </cell>
          <cell r="H38">
            <v>10</v>
          </cell>
          <cell r="I38">
            <v>10</v>
          </cell>
          <cell r="J38">
            <v>10</v>
          </cell>
          <cell r="K38">
            <v>10</v>
          </cell>
          <cell r="L38">
            <v>11</v>
          </cell>
          <cell r="M38">
            <v>11</v>
          </cell>
          <cell r="N38">
            <v>12</v>
          </cell>
          <cell r="O38">
            <v>12</v>
          </cell>
          <cell r="P38">
            <v>14</v>
          </cell>
          <cell r="Q38">
            <v>15</v>
          </cell>
          <cell r="R38">
            <v>14</v>
          </cell>
          <cell r="S38">
            <v>14</v>
          </cell>
          <cell r="T38">
            <v>13</v>
          </cell>
        </row>
        <row r="39">
          <cell r="C39" t="str">
            <v>Sandro</v>
          </cell>
          <cell r="F39">
            <v>66</v>
          </cell>
          <cell r="G39">
            <v>74</v>
          </cell>
          <cell r="H39">
            <v>93</v>
          </cell>
          <cell r="I39">
            <v>96</v>
          </cell>
          <cell r="J39">
            <v>99</v>
          </cell>
          <cell r="K39">
            <v>97</v>
          </cell>
          <cell r="L39">
            <v>80</v>
          </cell>
          <cell r="M39">
            <v>80</v>
          </cell>
          <cell r="N39">
            <v>81</v>
          </cell>
          <cell r="O39">
            <v>83</v>
          </cell>
          <cell r="P39">
            <v>81</v>
          </cell>
          <cell r="Q39">
            <v>81</v>
          </cell>
          <cell r="R39">
            <v>80</v>
          </cell>
          <cell r="S39">
            <v>74</v>
          </cell>
          <cell r="T39">
            <v>77</v>
          </cell>
        </row>
        <row r="40">
          <cell r="C40" t="str">
            <v>Maje</v>
          </cell>
          <cell r="D40"/>
          <cell r="E40"/>
          <cell r="F40">
            <v>66</v>
          </cell>
          <cell r="G40">
            <v>67</v>
          </cell>
          <cell r="H40">
            <v>79</v>
          </cell>
          <cell r="I40">
            <v>82</v>
          </cell>
          <cell r="J40">
            <v>86</v>
          </cell>
          <cell r="K40">
            <v>84</v>
          </cell>
          <cell r="L40">
            <v>76</v>
          </cell>
          <cell r="M40">
            <v>76</v>
          </cell>
          <cell r="N40">
            <v>78</v>
          </cell>
          <cell r="O40">
            <v>76</v>
          </cell>
          <cell r="P40">
            <v>77</v>
          </cell>
          <cell r="Q40">
            <v>77</v>
          </cell>
          <cell r="R40">
            <v>76</v>
          </cell>
          <cell r="S40">
            <v>68</v>
          </cell>
          <cell r="T40">
            <v>69</v>
          </cell>
        </row>
        <row r="41">
          <cell r="C41" t="str">
            <v>RTW</v>
          </cell>
          <cell r="D41"/>
          <cell r="E41"/>
          <cell r="F41">
            <v>141</v>
          </cell>
          <cell r="G41">
            <v>150</v>
          </cell>
          <cell r="H41">
            <v>182</v>
          </cell>
          <cell r="I41">
            <v>188</v>
          </cell>
          <cell r="J41">
            <v>195</v>
          </cell>
          <cell r="K41">
            <v>191</v>
          </cell>
          <cell r="L41">
            <v>167</v>
          </cell>
          <cell r="M41">
            <v>167</v>
          </cell>
          <cell r="N41">
            <v>171</v>
          </cell>
          <cell r="O41">
            <v>171</v>
          </cell>
          <cell r="P41">
            <v>172</v>
          </cell>
          <cell r="Q41">
            <v>173</v>
          </cell>
          <cell r="R41">
            <v>170</v>
          </cell>
          <cell r="S41">
            <v>156</v>
          </cell>
          <cell r="T41">
            <v>159</v>
          </cell>
        </row>
        <row r="42">
          <cell r="C42" t="str">
            <v xml:space="preserve">Competitors Total </v>
          </cell>
          <cell r="D42"/>
          <cell r="E42"/>
          <cell r="F42"/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  <cell r="T42"/>
        </row>
        <row r="43">
          <cell r="C43"/>
          <cell r="D43"/>
          <cell r="E43"/>
          <cell r="F43"/>
          <cell r="H43"/>
          <cell r="I43"/>
          <cell r="J43"/>
          <cell r="K43"/>
          <cell r="L43"/>
          <cell r="M43"/>
          <cell r="N43"/>
          <cell r="O43"/>
          <cell r="P43"/>
          <cell r="Q43"/>
          <cell r="R43"/>
          <cell r="S43"/>
          <cell r="T43"/>
        </row>
        <row r="44">
          <cell r="C44" t="str">
            <v>Competitor excl. Big Three</v>
          </cell>
          <cell r="D44"/>
          <cell r="E44"/>
          <cell r="F44"/>
          <cell r="G44"/>
          <cell r="H44"/>
          <cell r="I44"/>
          <cell r="J44"/>
          <cell r="K44"/>
          <cell r="L44"/>
          <cell r="M44"/>
          <cell r="N44"/>
          <cell r="O44"/>
          <cell r="P44"/>
          <cell r="Q44"/>
          <cell r="R44"/>
          <cell r="S44"/>
          <cell r="T44"/>
        </row>
        <row r="45">
          <cell r="C45" t="str">
            <v>Lancome</v>
          </cell>
          <cell r="H45"/>
          <cell r="I45"/>
          <cell r="J45"/>
          <cell r="K45"/>
          <cell r="L45"/>
          <cell r="M45"/>
          <cell r="N45"/>
          <cell r="O45"/>
          <cell r="P45"/>
          <cell r="Q45"/>
          <cell r="R45"/>
          <cell r="S45"/>
          <cell r="T45"/>
        </row>
        <row r="46">
          <cell r="J46"/>
          <cell r="K46"/>
          <cell r="L46"/>
          <cell r="M46"/>
          <cell r="N46"/>
          <cell r="O46"/>
          <cell r="P46"/>
          <cell r="Q46"/>
          <cell r="R46"/>
          <cell r="S46"/>
          <cell r="T46"/>
        </row>
        <row r="47">
          <cell r="F47"/>
          <cell r="G47"/>
          <cell r="H47"/>
          <cell r="I47"/>
          <cell r="J47"/>
          <cell r="K47"/>
          <cell r="L47"/>
          <cell r="M47"/>
          <cell r="N47"/>
          <cell r="O47"/>
          <cell r="P47"/>
          <cell r="Q47"/>
          <cell r="R47"/>
          <cell r="S47"/>
          <cell r="T47"/>
        </row>
        <row r="48">
          <cell r="F48"/>
          <cell r="G48"/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  <cell r="T48"/>
        </row>
        <row r="49">
          <cell r="C49"/>
          <cell r="D49"/>
          <cell r="E49"/>
          <cell r="F49"/>
          <cell r="G49"/>
          <cell r="H49"/>
          <cell r="I49"/>
          <cell r="J49"/>
          <cell r="K49"/>
          <cell r="L49"/>
          <cell r="M49"/>
          <cell r="N49"/>
          <cell r="O49"/>
          <cell r="P49"/>
          <cell r="Q49"/>
          <cell r="R49"/>
          <cell r="S49"/>
          <cell r="T49"/>
        </row>
        <row r="50">
          <cell r="C50" t="str">
            <v>MCM comp +112% is mainly driven by BJ SKP anniversary, Apr store sales seeing 10 times of previous month.</v>
          </cell>
          <cell r="D50"/>
          <cell r="E50"/>
          <cell r="F50"/>
        </row>
        <row r="51">
          <cell r="C51"/>
          <cell r="D51"/>
          <cell r="E51"/>
          <cell r="F51"/>
        </row>
        <row r="55">
          <cell r="C55"/>
          <cell r="D55"/>
          <cell r="E55"/>
          <cell r="F55"/>
          <cell r="G55"/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  <cell r="T55"/>
        </row>
      </sheetData>
      <sheetData sheetId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P"/>
      <sheetName val="Sheet1"/>
    </sheetNames>
    <sheetDataSet>
      <sheetData sheetId="0">
        <row r="1">
          <cell r="C1"/>
          <cell r="D1"/>
          <cell r="E1"/>
          <cell r="F1"/>
          <cell r="G1"/>
          <cell r="J1"/>
          <cell r="K1"/>
          <cell r="L1"/>
          <cell r="M1"/>
          <cell r="N1"/>
          <cell r="O1"/>
          <cell r="P1"/>
          <cell r="Q1"/>
          <cell r="R1"/>
          <cell r="S1"/>
          <cell r="T1"/>
          <cell r="U1"/>
        </row>
        <row r="2">
          <cell r="C2"/>
          <cell r="D2"/>
          <cell r="E2"/>
          <cell r="F2"/>
          <cell r="G2"/>
          <cell r="J2"/>
          <cell r="K2"/>
          <cell r="L2"/>
          <cell r="M2"/>
          <cell r="N2"/>
          <cell r="O2"/>
          <cell r="P2"/>
          <cell r="Q2"/>
          <cell r="R2"/>
          <cell r="S2"/>
          <cell r="T2"/>
          <cell r="U2" t="str">
            <v>updated @ 20241227</v>
          </cell>
        </row>
        <row r="3">
          <cell r="C3"/>
          <cell r="D3" t="str">
            <v>Store count 
FY21 Q1</v>
          </cell>
          <cell r="E3" t="str">
            <v>Store count 
FY21 Q2</v>
          </cell>
          <cell r="F3" t="str">
            <v>Store count 
FY21 Q3</v>
          </cell>
          <cell r="G3" t="str">
            <v>Store count 
FY21 Q4</v>
          </cell>
          <cell r="H3" t="str">
            <v>Store Count 
FY22 Q1</v>
          </cell>
          <cell r="I3" t="str">
            <v>Store count
FY22 Q2</v>
          </cell>
          <cell r="J3" t="str">
            <v>Store count
FY22 Q3</v>
          </cell>
          <cell r="K3" t="str">
            <v>Store count
FY22 Q4</v>
          </cell>
          <cell r="L3" t="str">
            <v>Store count
FY23 Q1</v>
          </cell>
          <cell r="M3" t="str">
            <v>Store Count
FY23 Q2</v>
          </cell>
          <cell r="N3" t="str">
            <v>Store Count
FY23 Q3</v>
          </cell>
          <cell r="O3" t="str">
            <v>Store Count
FY23 Q4</v>
          </cell>
          <cell r="P3" t="str">
            <v>Store Count FY24 Q1</v>
          </cell>
          <cell r="Q3" t="str">
            <v>Store Count
FY24 Q2</v>
          </cell>
          <cell r="R3" t="str">
            <v>Store Count
FY24 Q3</v>
          </cell>
          <cell r="S3" t="str">
            <v>Store Count
FY24 Q4</v>
          </cell>
          <cell r="T3" t="str">
            <v>Store Count
FY25 Q1</v>
          </cell>
          <cell r="U3" t="str">
            <v>Store Count
FY25 Q2</v>
          </cell>
        </row>
        <row r="4">
          <cell r="F4"/>
          <cell r="H4"/>
          <cell r="I4"/>
          <cell r="J4"/>
          <cell r="K4"/>
          <cell r="L4"/>
          <cell r="M4"/>
          <cell r="N4"/>
          <cell r="O4"/>
          <cell r="P4"/>
          <cell r="Q4"/>
          <cell r="R4"/>
          <cell r="S4"/>
          <cell r="T4"/>
          <cell r="U4"/>
        </row>
        <row r="5">
          <cell r="C5" t="str">
            <v>Competitors</v>
          </cell>
          <cell r="D5"/>
          <cell r="E5"/>
          <cell r="F5"/>
          <cell r="H5"/>
          <cell r="I5"/>
          <cell r="J5"/>
          <cell r="K5"/>
          <cell r="L5"/>
          <cell r="M5"/>
          <cell r="N5"/>
          <cell r="O5"/>
          <cell r="P5"/>
          <cell r="Q5"/>
          <cell r="R5"/>
          <cell r="S5"/>
          <cell r="T5"/>
          <cell r="U5"/>
        </row>
        <row r="6">
          <cell r="C6" t="str">
            <v>LV</v>
          </cell>
          <cell r="F6">
            <v>43</v>
          </cell>
          <cell r="G6">
            <v>56</v>
          </cell>
          <cell r="H6">
            <v>57</v>
          </cell>
          <cell r="I6">
            <v>58</v>
          </cell>
          <cell r="J6">
            <v>60</v>
          </cell>
          <cell r="K6">
            <v>60</v>
          </cell>
          <cell r="L6">
            <v>61</v>
          </cell>
          <cell r="M6">
            <v>64</v>
          </cell>
          <cell r="N6">
            <v>64</v>
          </cell>
          <cell r="O6">
            <v>64</v>
          </cell>
          <cell r="P6">
            <v>64</v>
          </cell>
          <cell r="Q6">
            <v>65</v>
          </cell>
          <cell r="R6">
            <v>67</v>
          </cell>
          <cell r="S6">
            <v>67</v>
          </cell>
          <cell r="T6">
            <v>68</v>
          </cell>
          <cell r="U6">
            <v>68</v>
          </cell>
        </row>
        <row r="7">
          <cell r="C7" t="str">
            <v>Gucci</v>
          </cell>
          <cell r="D7"/>
          <cell r="E7"/>
          <cell r="F7">
            <v>51</v>
          </cell>
          <cell r="G7">
            <v>58</v>
          </cell>
          <cell r="H7">
            <v>59</v>
          </cell>
          <cell r="I7">
            <v>70</v>
          </cell>
          <cell r="J7">
            <v>74</v>
          </cell>
          <cell r="K7">
            <v>73</v>
          </cell>
          <cell r="L7">
            <v>76</v>
          </cell>
          <cell r="M7">
            <v>81</v>
          </cell>
          <cell r="N7">
            <v>79</v>
          </cell>
          <cell r="O7">
            <v>80</v>
          </cell>
          <cell r="P7">
            <v>85</v>
          </cell>
          <cell r="Q7">
            <v>85</v>
          </cell>
          <cell r="R7">
            <v>86</v>
          </cell>
          <cell r="S7">
            <v>87</v>
          </cell>
          <cell r="T7">
            <v>84</v>
          </cell>
          <cell r="U7">
            <v>85</v>
          </cell>
        </row>
        <row r="8">
          <cell r="C8" t="str">
            <v>Dior</v>
          </cell>
          <cell r="D8"/>
          <cell r="E8"/>
          <cell r="F8">
            <v>26</v>
          </cell>
          <cell r="G8">
            <v>34</v>
          </cell>
          <cell r="H8">
            <v>37</v>
          </cell>
          <cell r="I8">
            <v>30</v>
          </cell>
          <cell r="J8">
            <v>32</v>
          </cell>
          <cell r="K8">
            <v>32</v>
          </cell>
          <cell r="L8">
            <v>32</v>
          </cell>
          <cell r="M8">
            <v>37</v>
          </cell>
          <cell r="N8">
            <v>37</v>
          </cell>
          <cell r="O8">
            <v>37</v>
          </cell>
          <cell r="P8">
            <v>37</v>
          </cell>
          <cell r="Q8">
            <v>39</v>
          </cell>
          <cell r="R8">
            <v>40</v>
          </cell>
          <cell r="S8">
            <v>39</v>
          </cell>
          <cell r="T8">
            <v>39</v>
          </cell>
          <cell r="U8">
            <v>39</v>
          </cell>
        </row>
        <row r="9">
          <cell r="C9" t="str">
            <v>Big Three Luxury Brands</v>
          </cell>
          <cell r="F9">
            <v>120</v>
          </cell>
          <cell r="G9">
            <v>148</v>
          </cell>
          <cell r="H9">
            <v>153</v>
          </cell>
          <cell r="I9">
            <v>158</v>
          </cell>
          <cell r="J9">
            <v>166</v>
          </cell>
          <cell r="K9">
            <v>165</v>
          </cell>
          <cell r="L9">
            <v>169</v>
          </cell>
          <cell r="M9">
            <v>182</v>
          </cell>
          <cell r="N9">
            <v>180</v>
          </cell>
          <cell r="O9">
            <v>181</v>
          </cell>
          <cell r="P9">
            <v>186</v>
          </cell>
          <cell r="Q9">
            <v>189</v>
          </cell>
          <cell r="R9">
            <v>193</v>
          </cell>
          <cell r="S9">
            <v>193</v>
          </cell>
          <cell r="T9">
            <v>191</v>
          </cell>
          <cell r="U9">
            <v>192</v>
          </cell>
        </row>
        <row r="10">
          <cell r="F10"/>
          <cell r="G10"/>
          <cell r="H10"/>
          <cell r="I10"/>
          <cell r="J10"/>
          <cell r="K10"/>
          <cell r="L10"/>
          <cell r="M10"/>
          <cell r="N10"/>
          <cell r="O10"/>
          <cell r="P10"/>
          <cell r="Q10"/>
          <cell r="R10"/>
          <cell r="S10"/>
          <cell r="T10"/>
          <cell r="U10"/>
        </row>
        <row r="11">
          <cell r="C11" t="str">
            <v>Chanel</v>
          </cell>
          <cell r="D11"/>
          <cell r="E11"/>
          <cell r="F11">
            <v>15</v>
          </cell>
          <cell r="G11">
            <v>15</v>
          </cell>
          <cell r="H11">
            <v>15</v>
          </cell>
          <cell r="I11">
            <v>15</v>
          </cell>
          <cell r="J11">
            <v>15</v>
          </cell>
          <cell r="K11">
            <v>15</v>
          </cell>
          <cell r="L11">
            <v>15</v>
          </cell>
          <cell r="M11">
            <v>16</v>
          </cell>
          <cell r="N11">
            <v>16</v>
          </cell>
          <cell r="O11">
            <v>16</v>
          </cell>
          <cell r="P11">
            <v>16</v>
          </cell>
          <cell r="Q11">
            <v>17</v>
          </cell>
          <cell r="R11">
            <v>18</v>
          </cell>
          <cell r="S11">
            <v>18</v>
          </cell>
          <cell r="T11">
            <v>19</v>
          </cell>
          <cell r="U11">
            <v>19</v>
          </cell>
        </row>
        <row r="12">
          <cell r="C12" t="str">
            <v>Burberry</v>
          </cell>
          <cell r="D12"/>
          <cell r="E12"/>
          <cell r="F12">
            <v>62</v>
          </cell>
          <cell r="G12">
            <v>61</v>
          </cell>
          <cell r="H12">
            <v>73</v>
          </cell>
          <cell r="I12">
            <v>70</v>
          </cell>
          <cell r="J12">
            <v>70</v>
          </cell>
          <cell r="K12">
            <v>65</v>
          </cell>
          <cell r="L12">
            <v>67</v>
          </cell>
          <cell r="M12">
            <v>65</v>
          </cell>
          <cell r="N12">
            <v>65</v>
          </cell>
          <cell r="O12">
            <v>70</v>
          </cell>
          <cell r="P12">
            <v>71</v>
          </cell>
          <cell r="Q12">
            <v>69</v>
          </cell>
          <cell r="R12">
            <v>70</v>
          </cell>
          <cell r="S12">
            <v>71</v>
          </cell>
          <cell r="T12">
            <v>69</v>
          </cell>
          <cell r="U12">
            <v>74</v>
          </cell>
        </row>
        <row r="13">
          <cell r="C13" t="str">
            <v>Prada</v>
          </cell>
          <cell r="F13">
            <v>35</v>
          </cell>
          <cell r="G13">
            <v>36</v>
          </cell>
          <cell r="H13">
            <v>36</v>
          </cell>
          <cell r="I13">
            <v>36</v>
          </cell>
          <cell r="J13">
            <v>37</v>
          </cell>
          <cell r="K13">
            <v>38</v>
          </cell>
          <cell r="L13">
            <v>36</v>
          </cell>
          <cell r="M13">
            <v>38</v>
          </cell>
          <cell r="N13">
            <v>34</v>
          </cell>
          <cell r="O13">
            <v>38</v>
          </cell>
          <cell r="P13">
            <v>37</v>
          </cell>
          <cell r="Q13">
            <v>36</v>
          </cell>
          <cell r="R13">
            <v>35</v>
          </cell>
          <cell r="S13">
            <v>35</v>
          </cell>
          <cell r="T13">
            <v>32</v>
          </cell>
          <cell r="U13">
            <v>35</v>
          </cell>
        </row>
        <row r="14">
          <cell r="C14" t="str">
            <v>Hermes</v>
          </cell>
          <cell r="D14"/>
          <cell r="E14"/>
          <cell r="F14">
            <v>28</v>
          </cell>
          <cell r="G14">
            <v>26</v>
          </cell>
          <cell r="H14">
            <v>26</v>
          </cell>
          <cell r="I14">
            <v>29</v>
          </cell>
          <cell r="J14">
            <v>29</v>
          </cell>
          <cell r="K14">
            <v>29</v>
          </cell>
          <cell r="L14">
            <v>29</v>
          </cell>
          <cell r="M14">
            <v>29</v>
          </cell>
          <cell r="N14">
            <v>29</v>
          </cell>
          <cell r="O14">
            <v>30</v>
          </cell>
          <cell r="P14">
            <v>31</v>
          </cell>
          <cell r="Q14">
            <v>32</v>
          </cell>
          <cell r="R14">
            <v>34</v>
          </cell>
          <cell r="S14">
            <v>34</v>
          </cell>
          <cell r="T14">
            <v>34</v>
          </cell>
          <cell r="U14">
            <v>34</v>
          </cell>
        </row>
        <row r="15">
          <cell r="C15" t="str">
            <v>Bottega Veneta</v>
          </cell>
          <cell r="D15"/>
          <cell r="E15"/>
          <cell r="F15">
            <v>42</v>
          </cell>
          <cell r="G15">
            <v>38</v>
          </cell>
          <cell r="H15">
            <v>37</v>
          </cell>
          <cell r="I15">
            <v>41</v>
          </cell>
          <cell r="J15">
            <v>41</v>
          </cell>
          <cell r="K15">
            <v>42</v>
          </cell>
          <cell r="L15">
            <v>41</v>
          </cell>
          <cell r="M15">
            <v>44</v>
          </cell>
          <cell r="N15">
            <v>46</v>
          </cell>
          <cell r="O15">
            <v>46</v>
          </cell>
          <cell r="P15">
            <v>47</v>
          </cell>
          <cell r="Q15">
            <v>47</v>
          </cell>
          <cell r="R15">
            <v>47</v>
          </cell>
          <cell r="S15">
            <v>48</v>
          </cell>
          <cell r="T15">
            <v>49</v>
          </cell>
          <cell r="U15">
            <v>49</v>
          </cell>
        </row>
        <row r="16">
          <cell r="C16" t="str">
            <v>Balenciaga</v>
          </cell>
          <cell r="F16">
            <v>33</v>
          </cell>
          <cell r="G16">
            <v>33</v>
          </cell>
          <cell r="H16">
            <v>34</v>
          </cell>
          <cell r="I16">
            <v>36</v>
          </cell>
          <cell r="J16">
            <v>38</v>
          </cell>
          <cell r="K16">
            <v>38</v>
          </cell>
          <cell r="L16">
            <v>43</v>
          </cell>
          <cell r="M16">
            <v>45</v>
          </cell>
          <cell r="N16">
            <v>45</v>
          </cell>
          <cell r="O16">
            <v>45</v>
          </cell>
          <cell r="P16">
            <v>47</v>
          </cell>
          <cell r="Q16">
            <v>46</v>
          </cell>
          <cell r="R16">
            <v>47</v>
          </cell>
          <cell r="S16">
            <v>48</v>
          </cell>
          <cell r="T16">
            <v>48</v>
          </cell>
          <cell r="U16">
            <v>49</v>
          </cell>
        </row>
        <row r="17">
          <cell r="C17" t="str">
            <v>Fendi</v>
          </cell>
          <cell r="D17"/>
          <cell r="E17"/>
          <cell r="F17">
            <v>26</v>
          </cell>
          <cell r="G17">
            <v>28</v>
          </cell>
          <cell r="H17">
            <v>28</v>
          </cell>
          <cell r="I17">
            <v>37</v>
          </cell>
          <cell r="J17">
            <v>37</v>
          </cell>
          <cell r="K17">
            <v>38</v>
          </cell>
          <cell r="L17">
            <v>38</v>
          </cell>
          <cell r="M17">
            <v>40</v>
          </cell>
          <cell r="N17">
            <v>41</v>
          </cell>
          <cell r="O17">
            <v>41</v>
          </cell>
          <cell r="P17">
            <v>43</v>
          </cell>
          <cell r="Q17">
            <v>43</v>
          </cell>
          <cell r="R17">
            <v>45</v>
          </cell>
          <cell r="S17">
            <v>45</v>
          </cell>
          <cell r="T17">
            <v>46</v>
          </cell>
          <cell r="U17">
            <v>46</v>
          </cell>
        </row>
        <row r="18">
          <cell r="C18" t="str">
            <v>Saint Laurent</v>
          </cell>
          <cell r="F18">
            <v>34</v>
          </cell>
          <cell r="G18">
            <v>42</v>
          </cell>
          <cell r="H18">
            <v>43</v>
          </cell>
          <cell r="I18">
            <v>43</v>
          </cell>
          <cell r="J18">
            <v>46</v>
          </cell>
          <cell r="K18">
            <v>45</v>
          </cell>
          <cell r="L18">
            <v>44</v>
          </cell>
          <cell r="M18">
            <v>46</v>
          </cell>
          <cell r="N18">
            <v>45</v>
          </cell>
          <cell r="O18">
            <v>45</v>
          </cell>
          <cell r="P18">
            <v>45</v>
          </cell>
          <cell r="Q18">
            <v>46</v>
          </cell>
          <cell r="R18">
            <v>47</v>
          </cell>
          <cell r="S18">
            <v>49</v>
          </cell>
          <cell r="T18">
            <v>49</v>
          </cell>
          <cell r="U18">
            <v>49</v>
          </cell>
        </row>
        <row r="19">
          <cell r="C19" t="str">
            <v>Valentino</v>
          </cell>
          <cell r="F19">
            <v>25</v>
          </cell>
          <cell r="G19">
            <v>31</v>
          </cell>
          <cell r="H19">
            <v>31</v>
          </cell>
          <cell r="I19">
            <v>30</v>
          </cell>
          <cell r="J19">
            <v>32</v>
          </cell>
          <cell r="K19">
            <v>27</v>
          </cell>
          <cell r="L19">
            <v>30</v>
          </cell>
          <cell r="M19">
            <v>32</v>
          </cell>
          <cell r="N19">
            <v>31</v>
          </cell>
          <cell r="O19">
            <v>32</v>
          </cell>
          <cell r="P19">
            <v>32</v>
          </cell>
          <cell r="Q19">
            <v>33</v>
          </cell>
          <cell r="R19">
            <v>34</v>
          </cell>
          <cell r="S19">
            <v>34</v>
          </cell>
          <cell r="T19">
            <v>36</v>
          </cell>
          <cell r="U19">
            <v>37</v>
          </cell>
        </row>
        <row r="20">
          <cell r="C20" t="str">
            <v>Stuart Weitzman</v>
          </cell>
          <cell r="F20">
            <v>48</v>
          </cell>
          <cell r="G20">
            <v>52</v>
          </cell>
          <cell r="H20">
            <v>54</v>
          </cell>
          <cell r="I20">
            <v>45</v>
          </cell>
          <cell r="J20">
            <v>45</v>
          </cell>
          <cell r="K20">
            <v>46</v>
          </cell>
          <cell r="L20">
            <v>46</v>
          </cell>
          <cell r="M20">
            <v>47</v>
          </cell>
          <cell r="N20">
            <v>49</v>
          </cell>
          <cell r="O20">
            <v>57</v>
          </cell>
          <cell r="P20">
            <v>52</v>
          </cell>
          <cell r="Q20">
            <v>45</v>
          </cell>
          <cell r="R20">
            <v>45</v>
          </cell>
          <cell r="S20">
            <v>44</v>
          </cell>
          <cell r="T20">
            <v>45</v>
          </cell>
          <cell r="U20">
            <v>46</v>
          </cell>
        </row>
        <row r="21">
          <cell r="C21" t="str">
            <v>Loewe</v>
          </cell>
          <cell r="D21"/>
          <cell r="E21"/>
          <cell r="F21"/>
          <cell r="G21"/>
          <cell r="H21"/>
          <cell r="I21"/>
          <cell r="J21"/>
          <cell r="K21">
            <v>30</v>
          </cell>
          <cell r="L21">
            <v>30</v>
          </cell>
          <cell r="M21">
            <v>31</v>
          </cell>
          <cell r="N21">
            <v>31</v>
          </cell>
          <cell r="O21">
            <v>29</v>
          </cell>
          <cell r="P21">
            <v>30</v>
          </cell>
          <cell r="Q21">
            <v>30</v>
          </cell>
          <cell r="R21">
            <v>30</v>
          </cell>
          <cell r="S21">
            <v>30</v>
          </cell>
          <cell r="T21">
            <v>31</v>
          </cell>
          <cell r="U21">
            <v>35</v>
          </cell>
        </row>
        <row r="22">
          <cell r="C22" t="str">
            <v>Other Luxury</v>
          </cell>
          <cell r="F22">
            <v>348</v>
          </cell>
          <cell r="G22">
            <v>362</v>
          </cell>
          <cell r="H22">
            <v>377</v>
          </cell>
          <cell r="I22">
            <v>382</v>
          </cell>
          <cell r="J22">
            <v>390</v>
          </cell>
          <cell r="K22">
            <v>413</v>
          </cell>
          <cell r="L22">
            <v>419</v>
          </cell>
          <cell r="M22">
            <v>433</v>
          </cell>
          <cell r="N22">
            <v>432</v>
          </cell>
          <cell r="O22">
            <v>449</v>
          </cell>
          <cell r="P22">
            <v>451</v>
          </cell>
          <cell r="Q22">
            <v>444</v>
          </cell>
          <cell r="R22">
            <v>452</v>
          </cell>
          <cell r="S22">
            <v>456</v>
          </cell>
          <cell r="T22">
            <v>458</v>
          </cell>
          <cell r="U22">
            <v>473</v>
          </cell>
        </row>
        <row r="23">
          <cell r="C23"/>
          <cell r="D23"/>
          <cell r="E23"/>
          <cell r="F23"/>
          <cell r="H23"/>
          <cell r="I23"/>
          <cell r="J23"/>
          <cell r="K23"/>
          <cell r="L23"/>
          <cell r="M23"/>
          <cell r="N23"/>
          <cell r="O23"/>
          <cell r="P23"/>
          <cell r="Q23"/>
          <cell r="R23"/>
          <cell r="S23"/>
          <cell r="T23"/>
          <cell r="U23"/>
        </row>
        <row r="24">
          <cell r="C24" t="str">
            <v>Longchamp</v>
          </cell>
          <cell r="F24">
            <v>21</v>
          </cell>
          <cell r="G24">
            <v>25</v>
          </cell>
          <cell r="H24">
            <v>26</v>
          </cell>
          <cell r="I24">
            <v>27</v>
          </cell>
          <cell r="J24">
            <v>27</v>
          </cell>
          <cell r="K24">
            <v>28</v>
          </cell>
          <cell r="L24">
            <v>31</v>
          </cell>
          <cell r="M24">
            <v>33</v>
          </cell>
          <cell r="N24">
            <v>34</v>
          </cell>
          <cell r="O24">
            <v>35</v>
          </cell>
          <cell r="P24">
            <v>35</v>
          </cell>
          <cell r="Q24">
            <v>35</v>
          </cell>
          <cell r="R24">
            <v>38</v>
          </cell>
          <cell r="S24">
            <v>35</v>
          </cell>
          <cell r="T24">
            <v>37</v>
          </cell>
          <cell r="U24">
            <v>38</v>
          </cell>
        </row>
        <row r="25">
          <cell r="C25" t="str">
            <v>Furla</v>
          </cell>
          <cell r="D25"/>
          <cell r="E25"/>
          <cell r="F25">
            <v>67</v>
          </cell>
          <cell r="G25">
            <v>62</v>
          </cell>
          <cell r="H25">
            <v>50</v>
          </cell>
          <cell r="I25">
            <v>57</v>
          </cell>
          <cell r="J25">
            <v>63</v>
          </cell>
          <cell r="K25">
            <v>63</v>
          </cell>
          <cell r="L25">
            <v>64</v>
          </cell>
          <cell r="M25">
            <v>63</v>
          </cell>
          <cell r="N25">
            <v>65</v>
          </cell>
          <cell r="O25">
            <v>57</v>
          </cell>
          <cell r="P25">
            <v>58</v>
          </cell>
          <cell r="Q25">
            <v>58</v>
          </cell>
          <cell r="R25">
            <v>58</v>
          </cell>
          <cell r="S25">
            <v>59</v>
          </cell>
          <cell r="T25">
            <v>59</v>
          </cell>
          <cell r="U25">
            <v>59</v>
          </cell>
        </row>
        <row r="26">
          <cell r="C26" t="str">
            <v>Kate Spade</v>
          </cell>
          <cell r="D26"/>
          <cell r="E26"/>
          <cell r="F26">
            <v>31</v>
          </cell>
          <cell r="G26">
            <v>29</v>
          </cell>
          <cell r="H26">
            <v>26</v>
          </cell>
          <cell r="I26">
            <v>25</v>
          </cell>
          <cell r="J26">
            <v>24</v>
          </cell>
          <cell r="K26">
            <v>23</v>
          </cell>
          <cell r="L26">
            <v>21</v>
          </cell>
          <cell r="M26">
            <v>21</v>
          </cell>
          <cell r="N26">
            <v>22</v>
          </cell>
          <cell r="O26">
            <v>21</v>
          </cell>
          <cell r="P26">
            <v>22</v>
          </cell>
          <cell r="Q26">
            <v>22</v>
          </cell>
          <cell r="R26">
            <v>22</v>
          </cell>
          <cell r="S26">
            <v>21</v>
          </cell>
          <cell r="T26">
            <v>21</v>
          </cell>
          <cell r="U26">
            <v>18</v>
          </cell>
        </row>
        <row r="27">
          <cell r="C27" t="str">
            <v>Tory Burch</v>
          </cell>
          <cell r="F27">
            <v>34</v>
          </cell>
          <cell r="G27">
            <v>45</v>
          </cell>
          <cell r="H27">
            <v>39</v>
          </cell>
          <cell r="I27">
            <v>38</v>
          </cell>
          <cell r="J27">
            <v>37</v>
          </cell>
          <cell r="K27">
            <v>52</v>
          </cell>
          <cell r="L27">
            <v>55</v>
          </cell>
          <cell r="M27">
            <v>55</v>
          </cell>
          <cell r="N27">
            <v>59</v>
          </cell>
          <cell r="O27">
            <v>62</v>
          </cell>
          <cell r="P27">
            <v>61</v>
          </cell>
          <cell r="Q27">
            <v>65</v>
          </cell>
          <cell r="R27">
            <v>71</v>
          </cell>
          <cell r="S27">
            <v>71</v>
          </cell>
          <cell r="T27">
            <v>72</v>
          </cell>
          <cell r="U27">
            <v>73</v>
          </cell>
        </row>
        <row r="28">
          <cell r="C28" t="str">
            <v>Michael Kors</v>
          </cell>
          <cell r="F28">
            <v>111</v>
          </cell>
          <cell r="G28">
            <v>111</v>
          </cell>
          <cell r="H28">
            <v>112</v>
          </cell>
          <cell r="I28">
            <v>105</v>
          </cell>
          <cell r="J28">
            <v>108</v>
          </cell>
          <cell r="K28">
            <v>109</v>
          </cell>
          <cell r="L28">
            <v>109</v>
          </cell>
          <cell r="M28">
            <v>112</v>
          </cell>
          <cell r="N28">
            <v>113</v>
          </cell>
          <cell r="O28">
            <v>114</v>
          </cell>
          <cell r="P28">
            <v>109</v>
          </cell>
          <cell r="Q28">
            <v>109</v>
          </cell>
          <cell r="R28">
            <v>112</v>
          </cell>
          <cell r="S28">
            <v>108</v>
          </cell>
          <cell r="T28">
            <v>108</v>
          </cell>
          <cell r="U28">
            <v>107</v>
          </cell>
        </row>
        <row r="29">
          <cell r="C29" t="str">
            <v>MCM</v>
          </cell>
          <cell r="F29">
            <v>53</v>
          </cell>
          <cell r="G29">
            <v>53</v>
          </cell>
          <cell r="H29">
            <v>46</v>
          </cell>
          <cell r="I29">
            <v>56</v>
          </cell>
          <cell r="J29">
            <v>65</v>
          </cell>
          <cell r="K29">
            <v>68</v>
          </cell>
          <cell r="L29">
            <v>67</v>
          </cell>
          <cell r="M29">
            <v>60</v>
          </cell>
          <cell r="N29">
            <v>60</v>
          </cell>
          <cell r="O29">
            <v>60</v>
          </cell>
          <cell r="P29">
            <v>59</v>
          </cell>
          <cell r="Q29">
            <v>59</v>
          </cell>
          <cell r="R29">
            <v>51</v>
          </cell>
          <cell r="S29">
            <v>50</v>
          </cell>
          <cell r="T29">
            <v>55</v>
          </cell>
          <cell r="U29">
            <v>55</v>
          </cell>
        </row>
        <row r="30">
          <cell r="C30" t="str">
            <v>CharlesKeith</v>
          </cell>
          <cell r="D30"/>
          <cell r="E30"/>
          <cell r="F30">
            <v>224</v>
          </cell>
          <cell r="G30">
            <v>262</v>
          </cell>
          <cell r="H30">
            <v>273</v>
          </cell>
          <cell r="I30">
            <v>271</v>
          </cell>
          <cell r="J30">
            <v>265</v>
          </cell>
          <cell r="K30">
            <v>263</v>
          </cell>
          <cell r="L30">
            <v>277</v>
          </cell>
          <cell r="M30">
            <v>272</v>
          </cell>
          <cell r="N30">
            <v>268</v>
          </cell>
          <cell r="O30">
            <v>263</v>
          </cell>
          <cell r="P30">
            <v>257</v>
          </cell>
          <cell r="Q30">
            <v>258</v>
          </cell>
          <cell r="R30">
            <v>258</v>
          </cell>
          <cell r="S30">
            <v>245</v>
          </cell>
          <cell r="T30">
            <v>251</v>
          </cell>
          <cell r="U30">
            <v>258</v>
          </cell>
        </row>
        <row r="31">
          <cell r="C31" t="str">
            <v>Accessible Luxury</v>
          </cell>
          <cell r="F31">
            <v>541</v>
          </cell>
          <cell r="G31">
            <v>587</v>
          </cell>
          <cell r="H31">
            <v>572</v>
          </cell>
          <cell r="I31">
            <v>579</v>
          </cell>
          <cell r="J31">
            <v>589</v>
          </cell>
          <cell r="K31">
            <v>606</v>
          </cell>
          <cell r="L31">
            <v>624</v>
          </cell>
          <cell r="M31">
            <v>616</v>
          </cell>
          <cell r="N31">
            <v>621</v>
          </cell>
          <cell r="O31">
            <v>612</v>
          </cell>
          <cell r="P31">
            <v>601</v>
          </cell>
          <cell r="Q31">
            <v>606</v>
          </cell>
          <cell r="R31">
            <v>610</v>
          </cell>
          <cell r="S31">
            <v>589</v>
          </cell>
          <cell r="T31">
            <v>603</v>
          </cell>
          <cell r="U31">
            <v>608</v>
          </cell>
        </row>
        <row r="32">
          <cell r="C32"/>
          <cell r="D32"/>
          <cell r="E32"/>
          <cell r="F32"/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  <cell r="T32"/>
          <cell r="U32"/>
        </row>
        <row r="33">
          <cell r="C33" t="str">
            <v>Hugo Boss</v>
          </cell>
          <cell r="D33"/>
          <cell r="E33"/>
          <cell r="F33">
            <v>102</v>
          </cell>
          <cell r="G33">
            <v>116</v>
          </cell>
          <cell r="H33">
            <v>116</v>
          </cell>
          <cell r="I33">
            <v>121</v>
          </cell>
          <cell r="J33">
            <v>122</v>
          </cell>
          <cell r="K33">
            <v>122</v>
          </cell>
          <cell r="L33">
            <v>115</v>
          </cell>
          <cell r="M33">
            <v>116</v>
          </cell>
          <cell r="N33">
            <v>114</v>
          </cell>
          <cell r="O33">
            <v>117</v>
          </cell>
          <cell r="P33">
            <v>114</v>
          </cell>
          <cell r="Q33">
            <v>112</v>
          </cell>
          <cell r="R33">
            <v>112</v>
          </cell>
          <cell r="S33">
            <v>108</v>
          </cell>
          <cell r="T33">
            <v>115</v>
          </cell>
          <cell r="U33">
            <v>114</v>
          </cell>
        </row>
        <row r="34">
          <cell r="C34" t="str">
            <v>Men's</v>
          </cell>
          <cell r="D34"/>
          <cell r="E34"/>
          <cell r="F34">
            <v>102</v>
          </cell>
          <cell r="G34">
            <v>116</v>
          </cell>
          <cell r="H34">
            <v>116</v>
          </cell>
          <cell r="I34">
            <v>121</v>
          </cell>
          <cell r="J34">
            <v>122</v>
          </cell>
          <cell r="K34">
            <v>122</v>
          </cell>
          <cell r="L34">
            <v>115</v>
          </cell>
          <cell r="M34">
            <v>116</v>
          </cell>
          <cell r="N34">
            <v>114</v>
          </cell>
          <cell r="O34">
            <v>117</v>
          </cell>
          <cell r="P34">
            <v>114</v>
          </cell>
          <cell r="Q34">
            <v>112</v>
          </cell>
          <cell r="R34">
            <v>112</v>
          </cell>
          <cell r="S34">
            <v>108</v>
          </cell>
          <cell r="T34">
            <v>115</v>
          </cell>
          <cell r="U34">
            <v>115</v>
          </cell>
        </row>
        <row r="35">
          <cell r="C35"/>
          <cell r="D35"/>
          <cell r="E35"/>
          <cell r="F35"/>
          <cell r="H35"/>
          <cell r="I35"/>
          <cell r="J35"/>
          <cell r="K35"/>
          <cell r="L35"/>
          <cell r="M35"/>
          <cell r="N35"/>
          <cell r="O35"/>
          <cell r="P35"/>
          <cell r="Q35"/>
          <cell r="R35"/>
          <cell r="S35"/>
          <cell r="T35"/>
          <cell r="U35"/>
        </row>
        <row r="36">
          <cell r="C36" t="str">
            <v>AcneStudio</v>
          </cell>
          <cell r="F36">
            <v>9</v>
          </cell>
          <cell r="G36">
            <v>9</v>
          </cell>
          <cell r="H36">
            <v>10</v>
          </cell>
          <cell r="I36">
            <v>10</v>
          </cell>
          <cell r="J36">
            <v>10</v>
          </cell>
          <cell r="K36">
            <v>10</v>
          </cell>
          <cell r="L36">
            <v>11</v>
          </cell>
          <cell r="M36">
            <v>11</v>
          </cell>
          <cell r="N36">
            <v>12</v>
          </cell>
          <cell r="O36">
            <v>12</v>
          </cell>
          <cell r="P36">
            <v>14</v>
          </cell>
          <cell r="Q36">
            <v>15</v>
          </cell>
          <cell r="R36">
            <v>14</v>
          </cell>
          <cell r="S36">
            <v>14</v>
          </cell>
          <cell r="T36">
            <v>13</v>
          </cell>
          <cell r="U36">
            <v>13</v>
          </cell>
        </row>
        <row r="37">
          <cell r="C37" t="str">
            <v>Sandro</v>
          </cell>
          <cell r="F37">
            <v>66</v>
          </cell>
          <cell r="G37">
            <v>74</v>
          </cell>
          <cell r="H37">
            <v>93</v>
          </cell>
          <cell r="I37">
            <v>96</v>
          </cell>
          <cell r="J37">
            <v>99</v>
          </cell>
          <cell r="K37">
            <v>97</v>
          </cell>
          <cell r="L37">
            <v>80</v>
          </cell>
          <cell r="M37">
            <v>80</v>
          </cell>
          <cell r="N37">
            <v>81</v>
          </cell>
          <cell r="O37">
            <v>83</v>
          </cell>
          <cell r="P37">
            <v>81</v>
          </cell>
          <cell r="Q37">
            <v>81</v>
          </cell>
          <cell r="R37">
            <v>80</v>
          </cell>
          <cell r="S37">
            <v>74</v>
          </cell>
          <cell r="T37">
            <v>77</v>
          </cell>
          <cell r="U37">
            <v>65</v>
          </cell>
        </row>
        <row r="38">
          <cell r="C38" t="str">
            <v>Maje</v>
          </cell>
          <cell r="D38"/>
          <cell r="E38"/>
          <cell r="F38">
            <v>66</v>
          </cell>
          <cell r="G38">
            <v>67</v>
          </cell>
          <cell r="H38">
            <v>79</v>
          </cell>
          <cell r="I38">
            <v>82</v>
          </cell>
          <cell r="J38">
            <v>86</v>
          </cell>
          <cell r="K38">
            <v>84</v>
          </cell>
          <cell r="L38">
            <v>76</v>
          </cell>
          <cell r="M38">
            <v>76</v>
          </cell>
          <cell r="N38">
            <v>78</v>
          </cell>
          <cell r="O38">
            <v>76</v>
          </cell>
          <cell r="P38">
            <v>77</v>
          </cell>
          <cell r="Q38">
            <v>77</v>
          </cell>
          <cell r="R38">
            <v>76</v>
          </cell>
          <cell r="S38">
            <v>68</v>
          </cell>
          <cell r="T38">
            <v>69</v>
          </cell>
          <cell r="U38">
            <v>59</v>
          </cell>
        </row>
        <row r="39">
          <cell r="C39" t="str">
            <v>RTW</v>
          </cell>
          <cell r="D39"/>
          <cell r="E39"/>
          <cell r="F39">
            <v>141</v>
          </cell>
          <cell r="G39">
            <v>150</v>
          </cell>
          <cell r="H39">
            <v>182</v>
          </cell>
          <cell r="I39">
            <v>188</v>
          </cell>
          <cell r="J39">
            <v>195</v>
          </cell>
          <cell r="K39">
            <v>191</v>
          </cell>
          <cell r="L39">
            <v>167</v>
          </cell>
          <cell r="M39">
            <v>167</v>
          </cell>
          <cell r="N39">
            <v>171</v>
          </cell>
          <cell r="O39">
            <v>171</v>
          </cell>
          <cell r="P39">
            <v>172</v>
          </cell>
          <cell r="Q39">
            <v>173</v>
          </cell>
          <cell r="R39">
            <v>170</v>
          </cell>
          <cell r="S39">
            <v>156</v>
          </cell>
          <cell r="T39">
            <v>159</v>
          </cell>
          <cell r="U39">
            <v>137</v>
          </cell>
        </row>
        <row r="40">
          <cell r="C40" t="str">
            <v xml:space="preserve">Competitors Total </v>
          </cell>
          <cell r="D40"/>
          <cell r="E40"/>
          <cell r="F40"/>
          <cell r="G40"/>
          <cell r="H40"/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  <cell r="T40"/>
          <cell r="U40"/>
        </row>
        <row r="41">
          <cell r="C41"/>
          <cell r="D41"/>
          <cell r="E41"/>
          <cell r="F41"/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  <cell r="T41"/>
          <cell r="U41"/>
        </row>
        <row r="42">
          <cell r="C42" t="str">
            <v>Competitor excl. Big Three</v>
          </cell>
          <cell r="D42"/>
          <cell r="E42"/>
          <cell r="F42"/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  <cell r="T42"/>
          <cell r="U42"/>
        </row>
        <row r="43">
          <cell r="C43" t="str">
            <v>Lancome</v>
          </cell>
          <cell r="H43"/>
          <cell r="I43"/>
          <cell r="J43"/>
          <cell r="K43"/>
          <cell r="L43"/>
          <cell r="M43"/>
          <cell r="N43"/>
          <cell r="O43"/>
          <cell r="P43"/>
          <cell r="Q43"/>
          <cell r="R43"/>
          <cell r="S43"/>
          <cell r="T43"/>
          <cell r="U43"/>
        </row>
        <row r="44">
          <cell r="J44"/>
          <cell r="K44"/>
          <cell r="L44"/>
          <cell r="M44"/>
          <cell r="N44"/>
          <cell r="O44"/>
          <cell r="P44"/>
          <cell r="Q44"/>
          <cell r="R44"/>
          <cell r="S44"/>
          <cell r="T44"/>
          <cell r="U44"/>
        </row>
        <row r="45">
          <cell r="F45"/>
          <cell r="G45"/>
          <cell r="H45"/>
          <cell r="I45"/>
          <cell r="J45"/>
          <cell r="K45"/>
          <cell r="L45"/>
          <cell r="M45"/>
          <cell r="N45"/>
          <cell r="O45"/>
          <cell r="P45"/>
          <cell r="Q45"/>
          <cell r="R45"/>
          <cell r="S45"/>
          <cell r="T45"/>
          <cell r="U45"/>
        </row>
        <row r="46">
          <cell r="F46"/>
          <cell r="G46"/>
          <cell r="H46"/>
          <cell r="I46"/>
          <cell r="J46"/>
          <cell r="K46"/>
          <cell r="L46"/>
          <cell r="M46"/>
          <cell r="N46"/>
          <cell r="O46"/>
          <cell r="P46"/>
          <cell r="Q46"/>
          <cell r="R46"/>
          <cell r="S46"/>
          <cell r="T46"/>
          <cell r="U46"/>
        </row>
        <row r="47">
          <cell r="C47"/>
          <cell r="D47"/>
          <cell r="E47"/>
          <cell r="F47"/>
          <cell r="G47"/>
          <cell r="H47"/>
          <cell r="I47"/>
          <cell r="J47"/>
          <cell r="K47"/>
          <cell r="L47"/>
          <cell r="M47"/>
          <cell r="N47"/>
          <cell r="O47"/>
          <cell r="P47"/>
          <cell r="Q47"/>
          <cell r="R47"/>
          <cell r="S47"/>
          <cell r="T47"/>
          <cell r="U47"/>
        </row>
        <row r="48">
          <cell r="C48" t="str">
            <v>MCM comp +112% is mainly driven by BJ SKP anniversary, Apr store sales seeing 10 times of previous month.</v>
          </cell>
          <cell r="D48"/>
          <cell r="E48"/>
          <cell r="F48"/>
        </row>
        <row r="49">
          <cell r="C49"/>
          <cell r="D49"/>
          <cell r="E49"/>
          <cell r="F49"/>
        </row>
        <row r="53">
          <cell r="C53"/>
          <cell r="D53"/>
          <cell r="E53"/>
          <cell r="F53"/>
          <cell r="G53"/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  <cell r="T53"/>
          <cell r="U53"/>
        </row>
      </sheetData>
      <sheetData sheetId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P"/>
      <sheetName val="Sheet1"/>
    </sheetNames>
    <sheetDataSet>
      <sheetData sheetId="0">
        <row r="1">
          <cell r="C1"/>
          <cell r="D1"/>
          <cell r="E1"/>
          <cell r="F1"/>
          <cell r="G1"/>
          <cell r="J1"/>
          <cell r="K1"/>
          <cell r="L1"/>
          <cell r="M1"/>
          <cell r="N1"/>
          <cell r="O1"/>
          <cell r="P1"/>
          <cell r="Q1"/>
          <cell r="R1"/>
          <cell r="S1"/>
          <cell r="T1"/>
          <cell r="U1"/>
          <cell r="V1"/>
        </row>
        <row r="2">
          <cell r="C2"/>
          <cell r="D2"/>
          <cell r="E2"/>
          <cell r="F2"/>
          <cell r="G2"/>
          <cell r="J2"/>
          <cell r="K2"/>
          <cell r="L2"/>
          <cell r="M2"/>
          <cell r="N2"/>
          <cell r="O2"/>
          <cell r="P2"/>
          <cell r="Q2"/>
          <cell r="R2"/>
          <cell r="S2"/>
          <cell r="T2"/>
          <cell r="U2"/>
          <cell r="V2" t="str">
            <v>updated @ 20250331</v>
          </cell>
        </row>
        <row r="3">
          <cell r="C3"/>
          <cell r="D3" t="str">
            <v>Store count 
FY21 Q1</v>
          </cell>
          <cell r="E3" t="str">
            <v>Store count 
FY21 Q2</v>
          </cell>
          <cell r="F3" t="str">
            <v>Store count 
FY21 Q3</v>
          </cell>
          <cell r="G3" t="str">
            <v>Store count 
FY21 Q4</v>
          </cell>
          <cell r="H3" t="str">
            <v>Store Count 
FY22 Q1</v>
          </cell>
          <cell r="I3" t="str">
            <v>Store count
FY22 Q2</v>
          </cell>
          <cell r="J3" t="str">
            <v>Store count
FY22 Q3</v>
          </cell>
          <cell r="K3" t="str">
            <v>Store count
FY22 Q4</v>
          </cell>
          <cell r="L3" t="str">
            <v>Store count
FY23 Q1</v>
          </cell>
          <cell r="M3" t="str">
            <v>Store Count
FY23 Q2</v>
          </cell>
          <cell r="N3" t="str">
            <v>Store Count
FY23 Q3</v>
          </cell>
          <cell r="O3" t="str">
            <v>Store Count
FY23 Q4</v>
          </cell>
          <cell r="P3" t="str">
            <v>Store Count FY24 Q1</v>
          </cell>
          <cell r="Q3" t="str">
            <v>Store Count
FY24 Q2</v>
          </cell>
          <cell r="R3" t="str">
            <v>Store Count
FY24 Q3</v>
          </cell>
          <cell r="S3" t="str">
            <v>Store Count
FY24 Q4</v>
          </cell>
          <cell r="T3" t="str">
            <v>Store Count
FY25 Q1</v>
          </cell>
          <cell r="U3" t="str">
            <v>Store Count
FY25 Q2</v>
          </cell>
          <cell r="V3" t="str">
            <v>Store Count
FY25 Q3</v>
          </cell>
        </row>
        <row r="4">
          <cell r="F4"/>
          <cell r="H4"/>
          <cell r="I4"/>
          <cell r="J4"/>
          <cell r="K4"/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</row>
        <row r="5">
          <cell r="C5" t="str">
            <v>Competitors</v>
          </cell>
          <cell r="D5"/>
          <cell r="E5"/>
          <cell r="F5"/>
          <cell r="H5"/>
          <cell r="I5"/>
          <cell r="J5"/>
          <cell r="K5"/>
          <cell r="L5"/>
          <cell r="M5"/>
          <cell r="N5"/>
          <cell r="O5"/>
          <cell r="P5"/>
          <cell r="Q5"/>
          <cell r="R5"/>
          <cell r="S5"/>
          <cell r="T5"/>
          <cell r="U5"/>
          <cell r="V5"/>
        </row>
        <row r="6">
          <cell r="C6" t="str">
            <v>LV</v>
          </cell>
          <cell r="F6">
            <v>43</v>
          </cell>
          <cell r="G6">
            <v>56</v>
          </cell>
          <cell r="H6">
            <v>57</v>
          </cell>
          <cell r="I6">
            <v>58</v>
          </cell>
          <cell r="J6">
            <v>60</v>
          </cell>
          <cell r="K6">
            <v>60</v>
          </cell>
          <cell r="L6">
            <v>61</v>
          </cell>
          <cell r="M6">
            <v>64</v>
          </cell>
          <cell r="N6">
            <v>64</v>
          </cell>
          <cell r="O6">
            <v>64</v>
          </cell>
          <cell r="P6">
            <v>64</v>
          </cell>
          <cell r="Q6">
            <v>65</v>
          </cell>
          <cell r="R6">
            <v>67</v>
          </cell>
          <cell r="S6">
            <v>67</v>
          </cell>
          <cell r="T6">
            <v>68</v>
          </cell>
          <cell r="U6">
            <v>68</v>
          </cell>
          <cell r="V6">
            <v>68</v>
          </cell>
        </row>
        <row r="7">
          <cell r="C7" t="str">
            <v>Gucci</v>
          </cell>
          <cell r="D7"/>
          <cell r="E7"/>
          <cell r="F7">
            <v>51</v>
          </cell>
          <cell r="G7">
            <v>58</v>
          </cell>
          <cell r="H7">
            <v>59</v>
          </cell>
          <cell r="I7">
            <v>70</v>
          </cell>
          <cell r="J7">
            <v>74</v>
          </cell>
          <cell r="K7">
            <v>73</v>
          </cell>
          <cell r="L7">
            <v>76</v>
          </cell>
          <cell r="M7">
            <v>81</v>
          </cell>
          <cell r="N7">
            <v>79</v>
          </cell>
          <cell r="O7">
            <v>80</v>
          </cell>
          <cell r="P7">
            <v>85</v>
          </cell>
          <cell r="Q7">
            <v>85</v>
          </cell>
          <cell r="R7">
            <v>86</v>
          </cell>
          <cell r="S7">
            <v>87</v>
          </cell>
          <cell r="T7">
            <v>84</v>
          </cell>
          <cell r="U7">
            <v>85</v>
          </cell>
          <cell r="V7">
            <v>80</v>
          </cell>
        </row>
        <row r="8">
          <cell r="C8" t="str">
            <v>Dior</v>
          </cell>
          <cell r="D8"/>
          <cell r="E8"/>
          <cell r="F8">
            <v>26</v>
          </cell>
          <cell r="G8">
            <v>34</v>
          </cell>
          <cell r="H8">
            <v>37</v>
          </cell>
          <cell r="I8">
            <v>30</v>
          </cell>
          <cell r="J8">
            <v>32</v>
          </cell>
          <cell r="K8">
            <v>32</v>
          </cell>
          <cell r="L8">
            <v>32</v>
          </cell>
          <cell r="M8">
            <v>37</v>
          </cell>
          <cell r="N8">
            <v>37</v>
          </cell>
          <cell r="O8">
            <v>37</v>
          </cell>
          <cell r="P8">
            <v>37</v>
          </cell>
          <cell r="Q8">
            <v>39</v>
          </cell>
          <cell r="R8">
            <v>40</v>
          </cell>
          <cell r="S8">
            <v>39</v>
          </cell>
          <cell r="T8">
            <v>39</v>
          </cell>
          <cell r="U8">
            <v>39</v>
          </cell>
          <cell r="V8">
            <v>39</v>
          </cell>
        </row>
        <row r="9">
          <cell r="C9" t="str">
            <v>Big Three Luxury Brands</v>
          </cell>
          <cell r="F9">
            <v>120</v>
          </cell>
          <cell r="G9">
            <v>148</v>
          </cell>
          <cell r="H9">
            <v>153</v>
          </cell>
          <cell r="I9">
            <v>158</v>
          </cell>
          <cell r="J9">
            <v>166</v>
          </cell>
          <cell r="K9">
            <v>165</v>
          </cell>
          <cell r="L9">
            <v>169</v>
          </cell>
          <cell r="M9">
            <v>182</v>
          </cell>
          <cell r="N9">
            <v>180</v>
          </cell>
          <cell r="O9">
            <v>181</v>
          </cell>
          <cell r="P9">
            <v>186</v>
          </cell>
          <cell r="Q9">
            <v>189</v>
          </cell>
          <cell r="R9">
            <v>193</v>
          </cell>
          <cell r="S9">
            <v>193</v>
          </cell>
          <cell r="T9">
            <v>191</v>
          </cell>
          <cell r="U9">
            <v>192</v>
          </cell>
          <cell r="V9">
            <v>187</v>
          </cell>
        </row>
        <row r="10">
          <cell r="F10"/>
          <cell r="G10"/>
          <cell r="H10"/>
          <cell r="I10"/>
          <cell r="J10"/>
          <cell r="K10"/>
          <cell r="L10"/>
          <cell r="M10"/>
          <cell r="N10"/>
          <cell r="O10"/>
          <cell r="P10"/>
          <cell r="Q10"/>
          <cell r="R10"/>
          <cell r="S10"/>
          <cell r="T10"/>
          <cell r="U10"/>
          <cell r="V10"/>
        </row>
        <row r="11">
          <cell r="C11" t="str">
            <v>Chanel</v>
          </cell>
          <cell r="D11"/>
          <cell r="E11"/>
          <cell r="F11">
            <v>15</v>
          </cell>
          <cell r="G11">
            <v>15</v>
          </cell>
          <cell r="H11">
            <v>15</v>
          </cell>
          <cell r="I11">
            <v>15</v>
          </cell>
          <cell r="J11">
            <v>15</v>
          </cell>
          <cell r="K11">
            <v>15</v>
          </cell>
          <cell r="L11">
            <v>15</v>
          </cell>
          <cell r="M11">
            <v>16</v>
          </cell>
          <cell r="N11">
            <v>16</v>
          </cell>
          <cell r="O11">
            <v>16</v>
          </cell>
          <cell r="P11">
            <v>16</v>
          </cell>
          <cell r="Q11">
            <v>17</v>
          </cell>
          <cell r="R11">
            <v>18</v>
          </cell>
          <cell r="S11">
            <v>18</v>
          </cell>
          <cell r="T11">
            <v>19</v>
          </cell>
          <cell r="U11">
            <v>19</v>
          </cell>
          <cell r="V11">
            <v>19</v>
          </cell>
        </row>
        <row r="12">
          <cell r="C12" t="str">
            <v>Burberry</v>
          </cell>
          <cell r="D12"/>
          <cell r="E12"/>
          <cell r="F12">
            <v>62</v>
          </cell>
          <cell r="G12">
            <v>61</v>
          </cell>
          <cell r="H12">
            <v>73</v>
          </cell>
          <cell r="I12">
            <v>70</v>
          </cell>
          <cell r="J12">
            <v>70</v>
          </cell>
          <cell r="K12">
            <v>65</v>
          </cell>
          <cell r="L12">
            <v>67</v>
          </cell>
          <cell r="M12">
            <v>65</v>
          </cell>
          <cell r="N12">
            <v>65</v>
          </cell>
          <cell r="O12">
            <v>70</v>
          </cell>
          <cell r="P12">
            <v>71</v>
          </cell>
          <cell r="Q12">
            <v>69</v>
          </cell>
          <cell r="R12">
            <v>70</v>
          </cell>
          <cell r="S12">
            <v>71</v>
          </cell>
          <cell r="T12">
            <v>69</v>
          </cell>
          <cell r="U12">
            <v>74</v>
          </cell>
          <cell r="V12">
            <v>84</v>
          </cell>
        </row>
        <row r="13">
          <cell r="C13" t="str">
            <v>Prada</v>
          </cell>
          <cell r="F13">
            <v>35</v>
          </cell>
          <cell r="G13">
            <v>36</v>
          </cell>
          <cell r="H13">
            <v>36</v>
          </cell>
          <cell r="I13">
            <v>36</v>
          </cell>
          <cell r="J13">
            <v>37</v>
          </cell>
          <cell r="K13">
            <v>38</v>
          </cell>
          <cell r="L13">
            <v>36</v>
          </cell>
          <cell r="M13">
            <v>38</v>
          </cell>
          <cell r="N13">
            <v>34</v>
          </cell>
          <cell r="O13">
            <v>38</v>
          </cell>
          <cell r="P13">
            <v>37</v>
          </cell>
          <cell r="Q13">
            <v>36</v>
          </cell>
          <cell r="R13">
            <v>35</v>
          </cell>
          <cell r="S13">
            <v>35</v>
          </cell>
          <cell r="T13">
            <v>32</v>
          </cell>
          <cell r="U13">
            <v>35</v>
          </cell>
          <cell r="V13">
            <v>38</v>
          </cell>
        </row>
        <row r="14">
          <cell r="C14" t="str">
            <v>Hermes</v>
          </cell>
          <cell r="D14"/>
          <cell r="E14"/>
          <cell r="F14">
            <v>28</v>
          </cell>
          <cell r="G14">
            <v>26</v>
          </cell>
          <cell r="H14">
            <v>26</v>
          </cell>
          <cell r="I14">
            <v>29</v>
          </cell>
          <cell r="J14">
            <v>29</v>
          </cell>
          <cell r="K14">
            <v>29</v>
          </cell>
          <cell r="L14">
            <v>29</v>
          </cell>
          <cell r="M14">
            <v>29</v>
          </cell>
          <cell r="N14">
            <v>29</v>
          </cell>
          <cell r="O14">
            <v>30</v>
          </cell>
          <cell r="P14">
            <v>31</v>
          </cell>
          <cell r="Q14">
            <v>32</v>
          </cell>
          <cell r="R14">
            <v>34</v>
          </cell>
          <cell r="S14">
            <v>34</v>
          </cell>
          <cell r="T14">
            <v>34</v>
          </cell>
          <cell r="U14">
            <v>34</v>
          </cell>
          <cell r="V14">
            <v>32</v>
          </cell>
        </row>
        <row r="15">
          <cell r="C15" t="str">
            <v>Bottega Veneta</v>
          </cell>
          <cell r="D15"/>
          <cell r="E15"/>
          <cell r="F15">
            <v>42</v>
          </cell>
          <cell r="G15">
            <v>38</v>
          </cell>
          <cell r="H15">
            <v>37</v>
          </cell>
          <cell r="I15">
            <v>41</v>
          </cell>
          <cell r="J15">
            <v>41</v>
          </cell>
          <cell r="K15">
            <v>42</v>
          </cell>
          <cell r="L15">
            <v>41</v>
          </cell>
          <cell r="M15">
            <v>44</v>
          </cell>
          <cell r="N15">
            <v>46</v>
          </cell>
          <cell r="O15">
            <v>46</v>
          </cell>
          <cell r="P15">
            <v>47</v>
          </cell>
          <cell r="Q15">
            <v>47</v>
          </cell>
          <cell r="R15">
            <v>47</v>
          </cell>
          <cell r="S15">
            <v>48</v>
          </cell>
          <cell r="T15">
            <v>49</v>
          </cell>
          <cell r="U15">
            <v>49</v>
          </cell>
          <cell r="V15">
            <v>49</v>
          </cell>
        </row>
        <row r="16">
          <cell r="C16" t="str">
            <v>Balenciaga</v>
          </cell>
          <cell r="F16">
            <v>33</v>
          </cell>
          <cell r="G16">
            <v>33</v>
          </cell>
          <cell r="H16">
            <v>34</v>
          </cell>
          <cell r="I16">
            <v>36</v>
          </cell>
          <cell r="J16">
            <v>38</v>
          </cell>
          <cell r="K16">
            <v>38</v>
          </cell>
          <cell r="L16">
            <v>43</v>
          </cell>
          <cell r="M16">
            <v>45</v>
          </cell>
          <cell r="N16">
            <v>45</v>
          </cell>
          <cell r="O16">
            <v>45</v>
          </cell>
          <cell r="P16">
            <v>47</v>
          </cell>
          <cell r="Q16">
            <v>46</v>
          </cell>
          <cell r="R16">
            <v>47</v>
          </cell>
          <cell r="S16">
            <v>48</v>
          </cell>
          <cell r="T16">
            <v>48</v>
          </cell>
          <cell r="U16">
            <v>49</v>
          </cell>
          <cell r="V16">
            <v>50</v>
          </cell>
        </row>
        <row r="17">
          <cell r="C17" t="str">
            <v>Fendi</v>
          </cell>
          <cell r="D17"/>
          <cell r="E17"/>
          <cell r="F17">
            <v>26</v>
          </cell>
          <cell r="G17">
            <v>28</v>
          </cell>
          <cell r="H17">
            <v>28</v>
          </cell>
          <cell r="I17">
            <v>37</v>
          </cell>
          <cell r="J17">
            <v>37</v>
          </cell>
          <cell r="K17">
            <v>38</v>
          </cell>
          <cell r="L17">
            <v>38</v>
          </cell>
          <cell r="M17">
            <v>40</v>
          </cell>
          <cell r="N17">
            <v>41</v>
          </cell>
          <cell r="O17">
            <v>41</v>
          </cell>
          <cell r="P17">
            <v>43</v>
          </cell>
          <cell r="Q17">
            <v>43</v>
          </cell>
          <cell r="R17">
            <v>45</v>
          </cell>
          <cell r="S17">
            <v>45</v>
          </cell>
          <cell r="T17">
            <v>46</v>
          </cell>
          <cell r="U17">
            <v>46</v>
          </cell>
          <cell r="V17">
            <v>45</v>
          </cell>
        </row>
        <row r="18">
          <cell r="C18" t="str">
            <v>Saint Laurent</v>
          </cell>
          <cell r="F18">
            <v>34</v>
          </cell>
          <cell r="G18">
            <v>42</v>
          </cell>
          <cell r="H18">
            <v>43</v>
          </cell>
          <cell r="I18">
            <v>43</v>
          </cell>
          <cell r="J18">
            <v>46</v>
          </cell>
          <cell r="K18">
            <v>45</v>
          </cell>
          <cell r="L18">
            <v>44</v>
          </cell>
          <cell r="M18">
            <v>46</v>
          </cell>
          <cell r="N18">
            <v>45</v>
          </cell>
          <cell r="O18">
            <v>45</v>
          </cell>
          <cell r="P18">
            <v>45</v>
          </cell>
          <cell r="Q18">
            <v>46</v>
          </cell>
          <cell r="R18">
            <v>47</v>
          </cell>
          <cell r="S18">
            <v>49</v>
          </cell>
          <cell r="T18">
            <v>49</v>
          </cell>
          <cell r="U18">
            <v>49</v>
          </cell>
          <cell r="V18">
            <v>50</v>
          </cell>
        </row>
        <row r="19">
          <cell r="C19" t="str">
            <v>Valentino</v>
          </cell>
          <cell r="F19">
            <v>25</v>
          </cell>
          <cell r="G19">
            <v>31</v>
          </cell>
          <cell r="H19">
            <v>31</v>
          </cell>
          <cell r="I19">
            <v>30</v>
          </cell>
          <cell r="J19">
            <v>32</v>
          </cell>
          <cell r="K19">
            <v>27</v>
          </cell>
          <cell r="L19">
            <v>30</v>
          </cell>
          <cell r="M19">
            <v>32</v>
          </cell>
          <cell r="N19">
            <v>31</v>
          </cell>
          <cell r="O19">
            <v>32</v>
          </cell>
          <cell r="P19">
            <v>32</v>
          </cell>
          <cell r="Q19">
            <v>33</v>
          </cell>
          <cell r="R19">
            <v>34</v>
          </cell>
          <cell r="S19">
            <v>34</v>
          </cell>
          <cell r="T19">
            <v>36</v>
          </cell>
          <cell r="U19">
            <v>37</v>
          </cell>
          <cell r="V19">
            <v>36</v>
          </cell>
        </row>
        <row r="20">
          <cell r="C20" t="str">
            <v>Stuart Weitzman</v>
          </cell>
          <cell r="F20">
            <v>48</v>
          </cell>
          <cell r="G20">
            <v>52</v>
          </cell>
          <cell r="H20">
            <v>54</v>
          </cell>
          <cell r="I20">
            <v>45</v>
          </cell>
          <cell r="J20">
            <v>45</v>
          </cell>
          <cell r="K20">
            <v>46</v>
          </cell>
          <cell r="L20">
            <v>46</v>
          </cell>
          <cell r="M20">
            <v>47</v>
          </cell>
          <cell r="N20">
            <v>49</v>
          </cell>
          <cell r="O20">
            <v>57</v>
          </cell>
          <cell r="P20">
            <v>52</v>
          </cell>
          <cell r="Q20">
            <v>45</v>
          </cell>
          <cell r="R20">
            <v>45</v>
          </cell>
          <cell r="S20">
            <v>44</v>
          </cell>
          <cell r="T20">
            <v>45</v>
          </cell>
          <cell r="U20">
            <v>48</v>
          </cell>
          <cell r="V20">
            <v>48</v>
          </cell>
        </row>
        <row r="21">
          <cell r="C21" t="str">
            <v>Loewe</v>
          </cell>
          <cell r="D21"/>
          <cell r="E21"/>
          <cell r="F21"/>
          <cell r="G21"/>
          <cell r="H21"/>
          <cell r="I21"/>
          <cell r="J21"/>
          <cell r="K21">
            <v>30</v>
          </cell>
          <cell r="L21">
            <v>30</v>
          </cell>
          <cell r="M21">
            <v>31</v>
          </cell>
          <cell r="N21">
            <v>31</v>
          </cell>
          <cell r="O21">
            <v>29</v>
          </cell>
          <cell r="P21">
            <v>30</v>
          </cell>
          <cell r="Q21">
            <v>30</v>
          </cell>
          <cell r="R21">
            <v>30</v>
          </cell>
          <cell r="S21">
            <v>30</v>
          </cell>
          <cell r="T21">
            <v>31</v>
          </cell>
          <cell r="U21">
            <v>35</v>
          </cell>
          <cell r="V21">
            <v>37</v>
          </cell>
        </row>
        <row r="22">
          <cell r="C22" t="str">
            <v>Other Luxury</v>
          </cell>
          <cell r="F22">
            <v>348</v>
          </cell>
          <cell r="G22">
            <v>362</v>
          </cell>
          <cell r="H22">
            <v>377</v>
          </cell>
          <cell r="I22">
            <v>382</v>
          </cell>
          <cell r="J22">
            <v>390</v>
          </cell>
          <cell r="K22">
            <v>413</v>
          </cell>
          <cell r="L22">
            <v>419</v>
          </cell>
          <cell r="M22">
            <v>433</v>
          </cell>
          <cell r="N22">
            <v>432</v>
          </cell>
          <cell r="O22">
            <v>449</v>
          </cell>
          <cell r="P22">
            <v>451</v>
          </cell>
          <cell r="Q22">
            <v>444</v>
          </cell>
          <cell r="R22">
            <v>452</v>
          </cell>
          <cell r="S22">
            <v>456</v>
          </cell>
          <cell r="T22">
            <v>458</v>
          </cell>
          <cell r="U22">
            <v>475</v>
          </cell>
          <cell r="V22">
            <v>488</v>
          </cell>
        </row>
        <row r="23">
          <cell r="C23"/>
          <cell r="D23"/>
          <cell r="E23"/>
          <cell r="F23"/>
          <cell r="H23"/>
          <cell r="I23"/>
          <cell r="J23"/>
          <cell r="K23"/>
          <cell r="L23"/>
          <cell r="M23"/>
          <cell r="N23"/>
          <cell r="O23"/>
          <cell r="P23"/>
          <cell r="Q23"/>
          <cell r="R23"/>
          <cell r="S23"/>
          <cell r="T23"/>
          <cell r="U23"/>
          <cell r="V23"/>
        </row>
        <row r="24">
          <cell r="C24" t="str">
            <v>Longchamp</v>
          </cell>
          <cell r="F24">
            <v>21</v>
          </cell>
          <cell r="G24">
            <v>25</v>
          </cell>
          <cell r="H24">
            <v>26</v>
          </cell>
          <cell r="I24">
            <v>27</v>
          </cell>
          <cell r="J24">
            <v>27</v>
          </cell>
          <cell r="K24">
            <v>28</v>
          </cell>
          <cell r="L24">
            <v>31</v>
          </cell>
          <cell r="M24">
            <v>33</v>
          </cell>
          <cell r="N24">
            <v>34</v>
          </cell>
          <cell r="O24">
            <v>35</v>
          </cell>
          <cell r="P24">
            <v>35</v>
          </cell>
          <cell r="Q24">
            <v>35</v>
          </cell>
          <cell r="R24">
            <v>38</v>
          </cell>
          <cell r="S24">
            <v>35</v>
          </cell>
          <cell r="T24">
            <v>37</v>
          </cell>
          <cell r="U24">
            <v>38</v>
          </cell>
          <cell r="V24">
            <v>40</v>
          </cell>
        </row>
        <row r="25">
          <cell r="C25" t="str">
            <v>Furla</v>
          </cell>
          <cell r="D25"/>
          <cell r="E25"/>
          <cell r="F25">
            <v>67</v>
          </cell>
          <cell r="G25">
            <v>62</v>
          </cell>
          <cell r="H25">
            <v>50</v>
          </cell>
          <cell r="I25">
            <v>57</v>
          </cell>
          <cell r="J25">
            <v>63</v>
          </cell>
          <cell r="K25">
            <v>63</v>
          </cell>
          <cell r="L25">
            <v>64</v>
          </cell>
          <cell r="M25">
            <v>63</v>
          </cell>
          <cell r="N25">
            <v>65</v>
          </cell>
          <cell r="O25">
            <v>57</v>
          </cell>
          <cell r="P25">
            <v>58</v>
          </cell>
          <cell r="Q25">
            <v>58</v>
          </cell>
          <cell r="R25">
            <v>58</v>
          </cell>
          <cell r="S25">
            <v>59</v>
          </cell>
          <cell r="T25">
            <v>59</v>
          </cell>
          <cell r="U25">
            <v>59</v>
          </cell>
          <cell r="V25">
            <v>59</v>
          </cell>
        </row>
        <row r="26">
          <cell r="C26" t="str">
            <v>Kate Spade</v>
          </cell>
          <cell r="D26"/>
          <cell r="E26"/>
          <cell r="F26">
            <v>31</v>
          </cell>
          <cell r="G26">
            <v>29</v>
          </cell>
          <cell r="H26">
            <v>26</v>
          </cell>
          <cell r="I26">
            <v>25</v>
          </cell>
          <cell r="J26">
            <v>24</v>
          </cell>
          <cell r="K26">
            <v>23</v>
          </cell>
          <cell r="L26">
            <v>21</v>
          </cell>
          <cell r="M26">
            <v>21</v>
          </cell>
          <cell r="N26">
            <v>22</v>
          </cell>
          <cell r="O26">
            <v>21</v>
          </cell>
          <cell r="P26">
            <v>22</v>
          </cell>
          <cell r="Q26">
            <v>22</v>
          </cell>
          <cell r="R26">
            <v>22</v>
          </cell>
          <cell r="S26">
            <v>21</v>
          </cell>
          <cell r="T26">
            <v>21</v>
          </cell>
          <cell r="U26">
            <v>18</v>
          </cell>
          <cell r="V26">
            <v>16</v>
          </cell>
        </row>
        <row r="27">
          <cell r="C27" t="str">
            <v>Tory Burch</v>
          </cell>
          <cell r="F27">
            <v>34</v>
          </cell>
          <cell r="G27">
            <v>45</v>
          </cell>
          <cell r="H27">
            <v>39</v>
          </cell>
          <cell r="I27">
            <v>38</v>
          </cell>
          <cell r="J27">
            <v>37</v>
          </cell>
          <cell r="K27">
            <v>52</v>
          </cell>
          <cell r="L27">
            <v>55</v>
          </cell>
          <cell r="M27">
            <v>55</v>
          </cell>
          <cell r="N27">
            <v>59</v>
          </cell>
          <cell r="O27">
            <v>62</v>
          </cell>
          <cell r="P27">
            <v>61</v>
          </cell>
          <cell r="Q27">
            <v>65</v>
          </cell>
          <cell r="R27">
            <v>71</v>
          </cell>
          <cell r="S27">
            <v>71</v>
          </cell>
          <cell r="T27">
            <v>72</v>
          </cell>
          <cell r="U27">
            <v>73</v>
          </cell>
          <cell r="V27">
            <v>73</v>
          </cell>
        </row>
        <row r="28">
          <cell r="C28" t="str">
            <v>Michael Kors</v>
          </cell>
          <cell r="F28">
            <v>111</v>
          </cell>
          <cell r="G28">
            <v>111</v>
          </cell>
          <cell r="H28">
            <v>112</v>
          </cell>
          <cell r="I28">
            <v>105</v>
          </cell>
          <cell r="J28">
            <v>108</v>
          </cell>
          <cell r="K28">
            <v>109</v>
          </cell>
          <cell r="L28">
            <v>109</v>
          </cell>
          <cell r="M28">
            <v>112</v>
          </cell>
          <cell r="N28">
            <v>113</v>
          </cell>
          <cell r="O28">
            <v>114</v>
          </cell>
          <cell r="P28">
            <v>109</v>
          </cell>
          <cell r="Q28">
            <v>109</v>
          </cell>
          <cell r="R28">
            <v>112</v>
          </cell>
          <cell r="S28">
            <v>108</v>
          </cell>
          <cell r="T28">
            <v>108</v>
          </cell>
          <cell r="U28">
            <v>107</v>
          </cell>
          <cell r="V28">
            <v>100</v>
          </cell>
        </row>
        <row r="29">
          <cell r="C29" t="str">
            <v>MCM</v>
          </cell>
          <cell r="F29">
            <v>53</v>
          </cell>
          <cell r="G29">
            <v>53</v>
          </cell>
          <cell r="H29">
            <v>46</v>
          </cell>
          <cell r="I29">
            <v>56</v>
          </cell>
          <cell r="J29">
            <v>65</v>
          </cell>
          <cell r="K29">
            <v>68</v>
          </cell>
          <cell r="L29">
            <v>67</v>
          </cell>
          <cell r="M29">
            <v>60</v>
          </cell>
          <cell r="N29">
            <v>60</v>
          </cell>
          <cell r="O29">
            <v>60</v>
          </cell>
          <cell r="P29">
            <v>59</v>
          </cell>
          <cell r="Q29">
            <v>59</v>
          </cell>
          <cell r="R29">
            <v>51</v>
          </cell>
          <cell r="S29">
            <v>50</v>
          </cell>
          <cell r="T29">
            <v>55</v>
          </cell>
          <cell r="U29">
            <v>55</v>
          </cell>
          <cell r="V29">
            <v>53</v>
          </cell>
        </row>
        <row r="30">
          <cell r="C30" t="str">
            <v>CharlesKeith</v>
          </cell>
          <cell r="D30"/>
          <cell r="E30"/>
          <cell r="F30">
            <v>224</v>
          </cell>
          <cell r="G30">
            <v>262</v>
          </cell>
          <cell r="H30">
            <v>273</v>
          </cell>
          <cell r="I30">
            <v>271</v>
          </cell>
          <cell r="J30">
            <v>265</v>
          </cell>
          <cell r="K30">
            <v>263</v>
          </cell>
          <cell r="L30">
            <v>277</v>
          </cell>
          <cell r="M30">
            <v>272</v>
          </cell>
          <cell r="N30">
            <v>268</v>
          </cell>
          <cell r="O30">
            <v>263</v>
          </cell>
          <cell r="P30">
            <v>257</v>
          </cell>
          <cell r="Q30">
            <v>258</v>
          </cell>
          <cell r="R30">
            <v>258</v>
          </cell>
          <cell r="S30">
            <v>245</v>
          </cell>
          <cell r="T30">
            <v>251</v>
          </cell>
          <cell r="U30">
            <v>258</v>
          </cell>
          <cell r="V30">
            <v>249</v>
          </cell>
        </row>
        <row r="31">
          <cell r="C31" t="str">
            <v>Accessible Luxury</v>
          </cell>
          <cell r="F31">
            <v>541</v>
          </cell>
          <cell r="G31">
            <v>587</v>
          </cell>
          <cell r="H31">
            <v>572</v>
          </cell>
          <cell r="I31">
            <v>579</v>
          </cell>
          <cell r="J31">
            <v>589</v>
          </cell>
          <cell r="K31">
            <v>606</v>
          </cell>
          <cell r="L31">
            <v>624</v>
          </cell>
          <cell r="M31">
            <v>616</v>
          </cell>
          <cell r="N31">
            <v>621</v>
          </cell>
          <cell r="O31">
            <v>612</v>
          </cell>
          <cell r="P31">
            <v>601</v>
          </cell>
          <cell r="Q31">
            <v>606</v>
          </cell>
          <cell r="R31">
            <v>610</v>
          </cell>
          <cell r="S31">
            <v>589</v>
          </cell>
          <cell r="T31">
            <v>603</v>
          </cell>
          <cell r="U31">
            <v>608</v>
          </cell>
          <cell r="V31">
            <v>590</v>
          </cell>
        </row>
        <row r="32">
          <cell r="C32"/>
          <cell r="D32"/>
          <cell r="E32"/>
          <cell r="F32"/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  <cell r="T32"/>
          <cell r="U32"/>
          <cell r="V32"/>
        </row>
        <row r="33">
          <cell r="C33" t="str">
            <v>Hugo Boss</v>
          </cell>
          <cell r="D33"/>
          <cell r="E33"/>
          <cell r="F33">
            <v>102</v>
          </cell>
          <cell r="G33">
            <v>116</v>
          </cell>
          <cell r="H33">
            <v>116</v>
          </cell>
          <cell r="I33">
            <v>121</v>
          </cell>
          <cell r="J33">
            <v>122</v>
          </cell>
          <cell r="K33">
            <v>122</v>
          </cell>
          <cell r="L33">
            <v>115</v>
          </cell>
          <cell r="M33">
            <v>116</v>
          </cell>
          <cell r="N33">
            <v>114</v>
          </cell>
          <cell r="O33">
            <v>117</v>
          </cell>
          <cell r="P33">
            <v>114</v>
          </cell>
          <cell r="Q33">
            <v>112</v>
          </cell>
          <cell r="R33">
            <v>112</v>
          </cell>
          <cell r="S33">
            <v>108</v>
          </cell>
          <cell r="T33">
            <v>115</v>
          </cell>
          <cell r="U33">
            <v>114</v>
          </cell>
          <cell r="V33">
            <v>110</v>
          </cell>
        </row>
        <row r="34">
          <cell r="C34" t="str">
            <v>Men's</v>
          </cell>
          <cell r="D34"/>
          <cell r="E34"/>
          <cell r="F34">
            <v>102</v>
          </cell>
          <cell r="G34">
            <v>116</v>
          </cell>
          <cell r="H34">
            <v>116</v>
          </cell>
          <cell r="I34">
            <v>121</v>
          </cell>
          <cell r="J34">
            <v>122</v>
          </cell>
          <cell r="K34">
            <v>122</v>
          </cell>
          <cell r="L34">
            <v>115</v>
          </cell>
          <cell r="M34">
            <v>116</v>
          </cell>
          <cell r="N34">
            <v>114</v>
          </cell>
          <cell r="O34">
            <v>117</v>
          </cell>
          <cell r="P34">
            <v>114</v>
          </cell>
          <cell r="Q34">
            <v>112</v>
          </cell>
          <cell r="R34">
            <v>112</v>
          </cell>
          <cell r="S34">
            <v>108</v>
          </cell>
          <cell r="T34">
            <v>115</v>
          </cell>
          <cell r="U34">
            <v>115</v>
          </cell>
          <cell r="V34">
            <v>115</v>
          </cell>
        </row>
        <row r="35">
          <cell r="C35"/>
          <cell r="D35"/>
          <cell r="E35"/>
          <cell r="F35"/>
          <cell r="H35"/>
          <cell r="I35"/>
          <cell r="J35"/>
          <cell r="K35"/>
          <cell r="L35"/>
          <cell r="M35"/>
          <cell r="N35"/>
          <cell r="O35"/>
          <cell r="P35"/>
          <cell r="Q35"/>
          <cell r="R35"/>
          <cell r="S35"/>
          <cell r="T35"/>
          <cell r="U35"/>
          <cell r="V35"/>
        </row>
        <row r="36">
          <cell r="C36" t="str">
            <v>AcneStudio</v>
          </cell>
          <cell r="F36">
            <v>9</v>
          </cell>
          <cell r="G36">
            <v>9</v>
          </cell>
          <cell r="H36">
            <v>10</v>
          </cell>
          <cell r="I36">
            <v>10</v>
          </cell>
          <cell r="J36">
            <v>10</v>
          </cell>
          <cell r="K36">
            <v>10</v>
          </cell>
          <cell r="L36">
            <v>11</v>
          </cell>
          <cell r="M36">
            <v>11</v>
          </cell>
          <cell r="N36">
            <v>12</v>
          </cell>
          <cell r="O36">
            <v>12</v>
          </cell>
          <cell r="P36">
            <v>14</v>
          </cell>
          <cell r="Q36">
            <v>15</v>
          </cell>
          <cell r="R36">
            <v>14</v>
          </cell>
          <cell r="S36">
            <v>14</v>
          </cell>
          <cell r="T36">
            <v>13</v>
          </cell>
          <cell r="U36">
            <v>13</v>
          </cell>
          <cell r="V36">
            <v>17</v>
          </cell>
        </row>
        <row r="37">
          <cell r="C37" t="str">
            <v>Sandro</v>
          </cell>
          <cell r="F37">
            <v>66</v>
          </cell>
          <cell r="G37">
            <v>74</v>
          </cell>
          <cell r="H37">
            <v>93</v>
          </cell>
          <cell r="I37">
            <v>96</v>
          </cell>
          <cell r="J37">
            <v>99</v>
          </cell>
          <cell r="K37">
            <v>97</v>
          </cell>
          <cell r="L37">
            <v>80</v>
          </cell>
          <cell r="M37">
            <v>80</v>
          </cell>
          <cell r="N37">
            <v>81</v>
          </cell>
          <cell r="O37">
            <v>83</v>
          </cell>
          <cell r="P37">
            <v>81</v>
          </cell>
          <cell r="Q37">
            <v>81</v>
          </cell>
          <cell r="R37">
            <v>80</v>
          </cell>
          <cell r="S37">
            <v>74</v>
          </cell>
          <cell r="T37">
            <v>77</v>
          </cell>
          <cell r="U37">
            <v>65</v>
          </cell>
          <cell r="V37">
            <v>65</v>
          </cell>
        </row>
        <row r="38">
          <cell r="C38" t="str">
            <v>Maje</v>
          </cell>
          <cell r="D38"/>
          <cell r="E38"/>
          <cell r="F38">
            <v>66</v>
          </cell>
          <cell r="G38">
            <v>67</v>
          </cell>
          <cell r="H38">
            <v>79</v>
          </cell>
          <cell r="I38">
            <v>82</v>
          </cell>
          <cell r="J38">
            <v>86</v>
          </cell>
          <cell r="K38">
            <v>84</v>
          </cell>
          <cell r="L38">
            <v>76</v>
          </cell>
          <cell r="M38">
            <v>76</v>
          </cell>
          <cell r="N38">
            <v>78</v>
          </cell>
          <cell r="O38">
            <v>76</v>
          </cell>
          <cell r="P38">
            <v>77</v>
          </cell>
          <cell r="Q38">
            <v>77</v>
          </cell>
          <cell r="R38">
            <v>76</v>
          </cell>
          <cell r="S38">
            <v>68</v>
          </cell>
          <cell r="T38">
            <v>69</v>
          </cell>
          <cell r="U38">
            <v>59</v>
          </cell>
          <cell r="V38">
            <v>60</v>
          </cell>
        </row>
        <row r="39">
          <cell r="C39" t="str">
            <v>RTW</v>
          </cell>
          <cell r="D39"/>
          <cell r="E39"/>
          <cell r="F39">
            <v>141</v>
          </cell>
          <cell r="G39">
            <v>150</v>
          </cell>
          <cell r="H39">
            <v>182</v>
          </cell>
          <cell r="I39">
            <v>188</v>
          </cell>
          <cell r="J39">
            <v>195</v>
          </cell>
          <cell r="K39">
            <v>191</v>
          </cell>
          <cell r="L39">
            <v>167</v>
          </cell>
          <cell r="M39">
            <v>167</v>
          </cell>
          <cell r="N39">
            <v>171</v>
          </cell>
          <cell r="O39">
            <v>171</v>
          </cell>
          <cell r="P39">
            <v>172</v>
          </cell>
          <cell r="Q39">
            <v>173</v>
          </cell>
          <cell r="R39">
            <v>170</v>
          </cell>
          <cell r="S39">
            <v>156</v>
          </cell>
          <cell r="T39">
            <v>159</v>
          </cell>
          <cell r="U39">
            <v>137</v>
          </cell>
          <cell r="V39">
            <v>142</v>
          </cell>
        </row>
        <row r="40">
          <cell r="C40" t="str">
            <v xml:space="preserve">Competitors Total </v>
          </cell>
          <cell r="D40"/>
          <cell r="E40"/>
          <cell r="F40"/>
          <cell r="G40"/>
          <cell r="H40"/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  <cell r="T40"/>
          <cell r="U40"/>
          <cell r="V40"/>
        </row>
        <row r="41">
          <cell r="C41"/>
          <cell r="D41"/>
          <cell r="E41"/>
          <cell r="F41"/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  <cell r="T41"/>
          <cell r="U41"/>
          <cell r="V41"/>
        </row>
        <row r="42">
          <cell r="C42" t="str">
            <v>Competitor excl. Big Three</v>
          </cell>
          <cell r="D42"/>
          <cell r="E42"/>
          <cell r="F42"/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  <cell r="T42"/>
          <cell r="U42"/>
          <cell r="V42"/>
        </row>
        <row r="43">
          <cell r="C43" t="str">
            <v>Lancome</v>
          </cell>
          <cell r="H43"/>
          <cell r="I43"/>
          <cell r="J43"/>
          <cell r="K43"/>
          <cell r="L43"/>
          <cell r="M43"/>
          <cell r="N43"/>
          <cell r="O43"/>
          <cell r="P43"/>
          <cell r="Q43"/>
          <cell r="R43"/>
          <cell r="S43"/>
          <cell r="T43"/>
          <cell r="U43"/>
          <cell r="V43"/>
        </row>
        <row r="44">
          <cell r="J44"/>
          <cell r="K44"/>
          <cell r="L44"/>
          <cell r="M44"/>
          <cell r="N44"/>
          <cell r="O44"/>
          <cell r="P44"/>
          <cell r="Q44"/>
          <cell r="R44"/>
          <cell r="S44"/>
          <cell r="T44"/>
          <cell r="U44"/>
          <cell r="V44"/>
        </row>
        <row r="45">
          <cell r="F45"/>
          <cell r="G45"/>
          <cell r="H45"/>
          <cell r="I45"/>
          <cell r="J45"/>
          <cell r="K45"/>
          <cell r="L45"/>
          <cell r="M45"/>
          <cell r="N45"/>
          <cell r="O45"/>
          <cell r="P45"/>
          <cell r="Q45"/>
          <cell r="R45"/>
          <cell r="S45"/>
          <cell r="T45"/>
          <cell r="U45"/>
          <cell r="V45"/>
        </row>
        <row r="46">
          <cell r="F46"/>
          <cell r="G46"/>
          <cell r="H46"/>
          <cell r="I46"/>
          <cell r="J46"/>
          <cell r="K46"/>
          <cell r="L46"/>
          <cell r="M46"/>
          <cell r="N46"/>
          <cell r="O46"/>
          <cell r="P46"/>
          <cell r="Q46"/>
          <cell r="R46"/>
          <cell r="S46"/>
          <cell r="T46"/>
          <cell r="U46"/>
          <cell r="V46"/>
        </row>
        <row r="47">
          <cell r="C47"/>
          <cell r="D47"/>
          <cell r="E47"/>
          <cell r="F47"/>
          <cell r="G47"/>
          <cell r="H47"/>
          <cell r="I47"/>
          <cell r="J47"/>
          <cell r="K47"/>
          <cell r="L47"/>
          <cell r="M47"/>
          <cell r="N47"/>
          <cell r="O47"/>
          <cell r="P47"/>
          <cell r="Q47"/>
          <cell r="R47"/>
          <cell r="S47"/>
          <cell r="T47"/>
          <cell r="U47"/>
          <cell r="V47"/>
        </row>
        <row r="48">
          <cell r="C48" t="str">
            <v>MCM comp +112% is mainly driven by BJ SKP anniversary, Apr store sales seeing 10 times of previous month.</v>
          </cell>
          <cell r="D48"/>
          <cell r="E48"/>
          <cell r="F48"/>
        </row>
        <row r="49">
          <cell r="C49"/>
          <cell r="D49"/>
          <cell r="E49"/>
          <cell r="F49"/>
        </row>
        <row r="53">
          <cell r="C53"/>
          <cell r="D53"/>
          <cell r="E53"/>
          <cell r="F53"/>
          <cell r="G53"/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  <cell r="T53"/>
          <cell r="U53"/>
          <cell r="V53"/>
        </row>
      </sheetData>
      <sheetData sheetId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P"/>
      <sheetName val="Sheet1"/>
    </sheetNames>
    <sheetDataSet>
      <sheetData sheetId="0">
        <row r="2">
          <cell r="C2">
            <v>1</v>
          </cell>
          <cell r="S2">
            <v>17</v>
          </cell>
          <cell r="W2" t="str">
            <v>updated @ 20250630</v>
          </cell>
        </row>
        <row r="3">
          <cell r="S3" t="str">
            <v>Store Count
FY24 Q4</v>
          </cell>
          <cell r="W3" t="str">
            <v>Store Count
FY25 Q4</v>
          </cell>
        </row>
        <row r="5">
          <cell r="C5" t="str">
            <v>Competitors</v>
          </cell>
        </row>
        <row r="6">
          <cell r="C6" t="str">
            <v>LV</v>
          </cell>
          <cell r="S6">
            <v>67</v>
          </cell>
          <cell r="W6">
            <v>69</v>
          </cell>
        </row>
        <row r="7">
          <cell r="C7" t="str">
            <v>Gucci</v>
          </cell>
          <cell r="S7">
            <v>87</v>
          </cell>
          <cell r="W7">
            <v>83</v>
          </cell>
        </row>
        <row r="8">
          <cell r="C8" t="str">
            <v>Dior</v>
          </cell>
          <cell r="S8">
            <v>39</v>
          </cell>
          <cell r="W8">
            <v>42</v>
          </cell>
        </row>
        <row r="9">
          <cell r="C9" t="str">
            <v>Big Three Luxury Brands</v>
          </cell>
          <cell r="S9">
            <v>193</v>
          </cell>
          <cell r="W9">
            <v>194</v>
          </cell>
        </row>
        <row r="11">
          <cell r="C11" t="str">
            <v>Chanel</v>
          </cell>
          <cell r="S11">
            <v>18</v>
          </cell>
          <cell r="W11">
            <v>19</v>
          </cell>
        </row>
        <row r="12">
          <cell r="C12" t="str">
            <v>Burberry</v>
          </cell>
          <cell r="S12">
            <v>71</v>
          </cell>
          <cell r="W12">
            <v>79</v>
          </cell>
        </row>
        <row r="13">
          <cell r="C13" t="str">
            <v>Prada</v>
          </cell>
          <cell r="S13">
            <v>35</v>
          </cell>
          <cell r="W13">
            <v>41</v>
          </cell>
        </row>
        <row r="14">
          <cell r="C14" t="str">
            <v>Hermes</v>
          </cell>
          <cell r="S14">
            <v>34</v>
          </cell>
          <cell r="W14">
            <v>31</v>
          </cell>
        </row>
        <row r="15">
          <cell r="C15" t="str">
            <v>Bottega Veneta</v>
          </cell>
          <cell r="S15">
            <v>48</v>
          </cell>
          <cell r="W15">
            <v>46</v>
          </cell>
        </row>
        <row r="16">
          <cell r="C16" t="str">
            <v>Balenciaga</v>
          </cell>
          <cell r="S16">
            <v>48</v>
          </cell>
          <cell r="W16">
            <v>48</v>
          </cell>
        </row>
        <row r="17">
          <cell r="C17" t="str">
            <v>Fendi</v>
          </cell>
          <cell r="S17">
            <v>45</v>
          </cell>
          <cell r="W17">
            <v>42</v>
          </cell>
        </row>
        <row r="18">
          <cell r="C18" t="str">
            <v>Saint Laurent</v>
          </cell>
          <cell r="S18">
            <v>49</v>
          </cell>
          <cell r="W18">
            <v>49</v>
          </cell>
        </row>
        <row r="19">
          <cell r="C19" t="str">
            <v>Valentino</v>
          </cell>
          <cell r="S19">
            <v>34</v>
          </cell>
          <cell r="W19">
            <v>37</v>
          </cell>
        </row>
        <row r="20">
          <cell r="C20" t="str">
            <v>Stuart Weitzman</v>
          </cell>
          <cell r="S20">
            <v>44</v>
          </cell>
          <cell r="W20">
            <v>45</v>
          </cell>
        </row>
        <row r="21">
          <cell r="C21" t="str">
            <v>Loewe</v>
          </cell>
          <cell r="S21">
            <v>30</v>
          </cell>
          <cell r="W21">
            <v>37</v>
          </cell>
        </row>
        <row r="22">
          <cell r="C22" t="str">
            <v>Other Luxury</v>
          </cell>
          <cell r="S22">
            <v>456</v>
          </cell>
          <cell r="W22">
            <v>474</v>
          </cell>
        </row>
        <row r="24">
          <cell r="C24" t="str">
            <v>Longchamp</v>
          </cell>
          <cell r="S24">
            <v>35</v>
          </cell>
          <cell r="W24">
            <v>41</v>
          </cell>
        </row>
        <row r="25">
          <cell r="C25" t="str">
            <v>Furla</v>
          </cell>
          <cell r="S25">
            <v>59</v>
          </cell>
          <cell r="W25">
            <v>59</v>
          </cell>
        </row>
        <row r="26">
          <cell r="C26" t="str">
            <v>Kate Spade</v>
          </cell>
          <cell r="S26">
            <v>21</v>
          </cell>
          <cell r="W26">
            <v>14</v>
          </cell>
        </row>
        <row r="27">
          <cell r="C27" t="str">
            <v>Tory Burch</v>
          </cell>
          <cell r="S27">
            <v>71</v>
          </cell>
          <cell r="W27">
            <v>75</v>
          </cell>
        </row>
        <row r="28">
          <cell r="C28" t="str">
            <v>Michael Kors</v>
          </cell>
          <cell r="S28">
            <v>108</v>
          </cell>
          <cell r="W28">
            <v>98</v>
          </cell>
        </row>
        <row r="29">
          <cell r="C29" t="str">
            <v>MCM</v>
          </cell>
          <cell r="S29">
            <v>50</v>
          </cell>
          <cell r="W29">
            <v>55</v>
          </cell>
        </row>
        <row r="30">
          <cell r="C30" t="str">
            <v>CharlesKeith</v>
          </cell>
          <cell r="S30">
            <v>245</v>
          </cell>
          <cell r="W30">
            <v>245</v>
          </cell>
        </row>
        <row r="31">
          <cell r="C31" t="str">
            <v>Accessible Luxury</v>
          </cell>
          <cell r="S31">
            <v>589</v>
          </cell>
          <cell r="W31">
            <v>587</v>
          </cell>
        </row>
        <row r="33">
          <cell r="C33" t="str">
            <v>Hugo Boss</v>
          </cell>
          <cell r="S33">
            <v>108</v>
          </cell>
          <cell r="W33">
            <v>109</v>
          </cell>
        </row>
        <row r="34">
          <cell r="C34" t="str">
            <v>Men's</v>
          </cell>
          <cell r="S34">
            <v>108</v>
          </cell>
          <cell r="W34">
            <v>115</v>
          </cell>
        </row>
        <row r="36">
          <cell r="C36" t="str">
            <v>AcneStudio</v>
          </cell>
          <cell r="S36">
            <v>14</v>
          </cell>
          <cell r="W36">
            <v>17</v>
          </cell>
        </row>
        <row r="37">
          <cell r="C37" t="str">
            <v>Sandro</v>
          </cell>
          <cell r="S37">
            <v>74</v>
          </cell>
          <cell r="W37">
            <v>64</v>
          </cell>
        </row>
        <row r="38">
          <cell r="C38" t="str">
            <v>Maje</v>
          </cell>
          <cell r="S38">
            <v>68</v>
          </cell>
          <cell r="W38">
            <v>60</v>
          </cell>
        </row>
        <row r="39">
          <cell r="C39" t="str">
            <v>RTW</v>
          </cell>
          <cell r="S39">
            <v>156</v>
          </cell>
          <cell r="W39">
            <v>141</v>
          </cell>
        </row>
        <row r="40">
          <cell r="C40" t="str">
            <v xml:space="preserve">Competitors Total </v>
          </cell>
        </row>
        <row r="42">
          <cell r="C42" t="str">
            <v>Competitor excl. Big Three</v>
          </cell>
        </row>
        <row r="43">
          <cell r="C43" t="str">
            <v>Lancome</v>
          </cell>
        </row>
        <row r="48">
          <cell r="C48" t="str">
            <v>MCM comp +112% is mainly driven by BJ SKP anniversary, Apr store sales seeing 10 times of previous month.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CB96B-DE40-4C67-97F5-64F93159B001}">
  <dimension ref="A1:W1054"/>
  <sheetViews>
    <sheetView tabSelected="1" workbookViewId="0">
      <pane ySplit="1" topLeftCell="A583" activePane="bottomLeft" state="frozen"/>
      <selection pane="bottomLeft" activeCell="F594" sqref="F594"/>
    </sheetView>
  </sheetViews>
  <sheetFormatPr defaultRowHeight="15"/>
  <cols>
    <col min="3" max="3" width="14.7109375" bestFit="1" customWidth="1"/>
    <col min="4" max="4" width="24.28515625" customWidth="1"/>
    <col min="5" max="5" width="20.42578125" bestFit="1" customWidth="1"/>
    <col min="6" max="6" width="13.28515625" bestFit="1" customWidth="1"/>
    <col min="7" max="7" width="25.140625" bestFit="1" customWidth="1"/>
    <col min="8" max="8" width="15.7109375" bestFit="1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23">
      <c r="A2">
        <v>2022</v>
      </c>
      <c r="B2">
        <v>6</v>
      </c>
      <c r="C2" t="s">
        <v>8</v>
      </c>
      <c r="D2">
        <v>10</v>
      </c>
      <c r="E2">
        <v>9</v>
      </c>
      <c r="F2">
        <f t="shared" ref="F2:F28" si="0">D2-E2</f>
        <v>1</v>
      </c>
      <c r="G2">
        <f t="shared" ref="G2:G7" si="1">F2/E2</f>
        <v>0.1111111111111111</v>
      </c>
      <c r="H2" t="s">
        <v>9</v>
      </c>
    </row>
    <row r="3" spans="1:23">
      <c r="A3">
        <v>2022</v>
      </c>
      <c r="B3">
        <v>6</v>
      </c>
      <c r="C3" t="s">
        <v>10</v>
      </c>
      <c r="D3">
        <v>38</v>
      </c>
      <c r="E3">
        <v>30</v>
      </c>
      <c r="F3">
        <f t="shared" si="0"/>
        <v>8</v>
      </c>
      <c r="G3">
        <f t="shared" si="1"/>
        <v>0.26666666666666666</v>
      </c>
      <c r="H3" t="s">
        <v>9</v>
      </c>
    </row>
    <row r="4" spans="1:23">
      <c r="A4">
        <v>2022</v>
      </c>
      <c r="B4">
        <v>6</v>
      </c>
      <c r="C4" t="s">
        <v>11</v>
      </c>
      <c r="D4">
        <v>42</v>
      </c>
      <c r="E4">
        <v>38</v>
      </c>
      <c r="F4">
        <f t="shared" si="0"/>
        <v>4</v>
      </c>
      <c r="G4">
        <f t="shared" si="1"/>
        <v>0.10526315789473684</v>
      </c>
      <c r="H4" t="s">
        <v>9</v>
      </c>
    </row>
    <row r="5" spans="1:23">
      <c r="A5">
        <v>2022</v>
      </c>
      <c r="B5">
        <v>6</v>
      </c>
      <c r="C5" t="s">
        <v>12</v>
      </c>
      <c r="D5">
        <v>65</v>
      </c>
      <c r="E5">
        <v>61</v>
      </c>
      <c r="F5">
        <f t="shared" si="0"/>
        <v>4</v>
      </c>
      <c r="G5">
        <f t="shared" si="1"/>
        <v>6.5573770491803282E-2</v>
      </c>
      <c r="H5" t="s">
        <v>9</v>
      </c>
    </row>
    <row r="6" spans="1:23">
      <c r="A6">
        <v>2022</v>
      </c>
      <c r="B6">
        <v>6</v>
      </c>
      <c r="C6" t="s">
        <v>13</v>
      </c>
      <c r="D6">
        <v>15</v>
      </c>
      <c r="E6">
        <v>15</v>
      </c>
      <c r="F6">
        <f t="shared" si="0"/>
        <v>0</v>
      </c>
      <c r="G6">
        <f t="shared" si="1"/>
        <v>0</v>
      </c>
      <c r="H6" t="s">
        <v>9</v>
      </c>
    </row>
    <row r="7" spans="1:23">
      <c r="A7">
        <v>2022</v>
      </c>
      <c r="B7">
        <v>6</v>
      </c>
      <c r="C7" t="s">
        <v>14</v>
      </c>
      <c r="D7">
        <v>263</v>
      </c>
      <c r="E7">
        <v>262</v>
      </c>
      <c r="F7">
        <f t="shared" si="0"/>
        <v>1</v>
      </c>
      <c r="G7">
        <f t="shared" si="1"/>
        <v>3.8167938931297708E-3</v>
      </c>
      <c r="H7" t="s">
        <v>9</v>
      </c>
      <c r="W7" s="2" t="s">
        <v>49</v>
      </c>
    </row>
    <row r="8" spans="1:23">
      <c r="A8">
        <v>2022</v>
      </c>
      <c r="B8">
        <v>6</v>
      </c>
      <c r="C8" t="s">
        <v>15</v>
      </c>
      <c r="D8">
        <v>155</v>
      </c>
      <c r="E8">
        <v>153</v>
      </c>
      <c r="F8">
        <f t="shared" si="0"/>
        <v>2</v>
      </c>
      <c r="G8">
        <f t="shared" ref="G8:G28" si="2">F8/E8</f>
        <v>1.3071895424836602E-2</v>
      </c>
      <c r="H8" t="s">
        <v>9</v>
      </c>
    </row>
    <row r="9" spans="1:23">
      <c r="A9">
        <v>2022</v>
      </c>
      <c r="B9">
        <v>6</v>
      </c>
      <c r="C9" t="s">
        <v>16</v>
      </c>
      <c r="D9">
        <v>48</v>
      </c>
      <c r="E9">
        <v>32</v>
      </c>
      <c r="F9">
        <f t="shared" si="0"/>
        <v>16</v>
      </c>
      <c r="G9">
        <f t="shared" si="2"/>
        <v>0.5</v>
      </c>
      <c r="H9" t="s">
        <v>9</v>
      </c>
    </row>
    <row r="10" spans="1:23">
      <c r="A10">
        <v>2022</v>
      </c>
      <c r="B10">
        <v>6</v>
      </c>
      <c r="C10" t="s">
        <v>17</v>
      </c>
      <c r="D10">
        <v>38</v>
      </c>
      <c r="E10">
        <v>28</v>
      </c>
      <c r="F10">
        <f t="shared" si="0"/>
        <v>10</v>
      </c>
      <c r="G10">
        <f t="shared" si="2"/>
        <v>0.35714285714285715</v>
      </c>
      <c r="H10" t="s">
        <v>9</v>
      </c>
    </row>
    <row r="11" spans="1:23">
      <c r="A11">
        <v>2022</v>
      </c>
      <c r="B11">
        <v>6</v>
      </c>
      <c r="C11" t="s">
        <v>18</v>
      </c>
      <c r="D11">
        <v>63</v>
      </c>
      <c r="E11">
        <v>62</v>
      </c>
      <c r="F11">
        <f t="shared" si="0"/>
        <v>1</v>
      </c>
      <c r="G11">
        <f t="shared" si="2"/>
        <v>1.6129032258064516E-2</v>
      </c>
      <c r="H11" t="s">
        <v>9</v>
      </c>
    </row>
    <row r="12" spans="1:23">
      <c r="A12">
        <v>2022</v>
      </c>
      <c r="B12">
        <v>6</v>
      </c>
      <c r="C12" t="s">
        <v>19</v>
      </c>
      <c r="D12">
        <v>73</v>
      </c>
      <c r="E12">
        <v>58</v>
      </c>
      <c r="F12">
        <f t="shared" si="0"/>
        <v>15</v>
      </c>
      <c r="G12">
        <f t="shared" si="2"/>
        <v>0.25862068965517243</v>
      </c>
      <c r="H12" t="s">
        <v>9</v>
      </c>
    </row>
    <row r="13" spans="1:23">
      <c r="A13">
        <v>2022</v>
      </c>
      <c r="B13">
        <v>6</v>
      </c>
      <c r="C13" t="s">
        <v>20</v>
      </c>
      <c r="D13">
        <v>29</v>
      </c>
      <c r="E13">
        <v>26</v>
      </c>
      <c r="F13">
        <f t="shared" si="0"/>
        <v>3</v>
      </c>
      <c r="G13">
        <f t="shared" si="2"/>
        <v>0.11538461538461539</v>
      </c>
      <c r="H13" t="s">
        <v>9</v>
      </c>
    </row>
    <row r="14" spans="1:23">
      <c r="A14">
        <v>2022</v>
      </c>
      <c r="B14">
        <v>6</v>
      </c>
      <c r="C14" t="s">
        <v>21</v>
      </c>
      <c r="D14">
        <v>122</v>
      </c>
      <c r="E14">
        <v>116</v>
      </c>
      <c r="F14">
        <f t="shared" si="0"/>
        <v>6</v>
      </c>
      <c r="G14">
        <f t="shared" si="2"/>
        <v>5.1724137931034482E-2</v>
      </c>
      <c r="H14" t="s">
        <v>9</v>
      </c>
    </row>
    <row r="15" spans="1:23">
      <c r="A15">
        <v>2022</v>
      </c>
      <c r="B15">
        <v>6</v>
      </c>
      <c r="C15" t="s">
        <v>22</v>
      </c>
      <c r="D15">
        <v>23</v>
      </c>
      <c r="E15">
        <v>29</v>
      </c>
      <c r="F15">
        <f t="shared" si="0"/>
        <v>-6</v>
      </c>
      <c r="G15">
        <f t="shared" si="2"/>
        <v>-0.20689655172413793</v>
      </c>
      <c r="H15" t="s">
        <v>9</v>
      </c>
    </row>
    <row r="16" spans="1:23">
      <c r="A16">
        <v>2022</v>
      </c>
      <c r="B16">
        <v>6</v>
      </c>
      <c r="C16" t="s">
        <v>23</v>
      </c>
      <c r="D16">
        <v>28</v>
      </c>
      <c r="E16">
        <v>25</v>
      </c>
      <c r="F16">
        <f t="shared" si="0"/>
        <v>3</v>
      </c>
      <c r="G16">
        <f t="shared" si="2"/>
        <v>0.12</v>
      </c>
      <c r="H16" t="s">
        <v>9</v>
      </c>
    </row>
    <row r="17" spans="1:8">
      <c r="A17">
        <v>2022</v>
      </c>
      <c r="B17">
        <v>6</v>
      </c>
      <c r="C17" t="s">
        <v>24</v>
      </c>
      <c r="D17">
        <v>60</v>
      </c>
      <c r="E17">
        <v>56</v>
      </c>
      <c r="F17">
        <f t="shared" si="0"/>
        <v>4</v>
      </c>
      <c r="G17">
        <f t="shared" si="2"/>
        <v>7.1428571428571425E-2</v>
      </c>
      <c r="H17" t="s">
        <v>9</v>
      </c>
    </row>
    <row r="18" spans="1:8">
      <c r="A18">
        <v>2022</v>
      </c>
      <c r="B18">
        <v>6</v>
      </c>
      <c r="C18" t="s">
        <v>25</v>
      </c>
      <c r="D18">
        <v>84</v>
      </c>
      <c r="E18">
        <v>67</v>
      </c>
      <c r="F18">
        <f t="shared" si="0"/>
        <v>17</v>
      </c>
      <c r="G18">
        <f t="shared" si="2"/>
        <v>0.2537313432835821</v>
      </c>
      <c r="H18" t="s">
        <v>9</v>
      </c>
    </row>
    <row r="19" spans="1:8">
      <c r="A19">
        <v>2022</v>
      </c>
      <c r="B19">
        <v>6</v>
      </c>
      <c r="C19" t="s">
        <v>26</v>
      </c>
      <c r="D19">
        <v>68</v>
      </c>
      <c r="E19">
        <v>53</v>
      </c>
      <c r="F19">
        <f t="shared" si="0"/>
        <v>15</v>
      </c>
      <c r="G19">
        <f t="shared" si="2"/>
        <v>0.28301886792452829</v>
      </c>
      <c r="H19" t="s">
        <v>9</v>
      </c>
    </row>
    <row r="20" spans="1:8">
      <c r="A20">
        <v>2022</v>
      </c>
      <c r="B20">
        <v>6</v>
      </c>
      <c r="C20" t="s">
        <v>27</v>
      </c>
      <c r="D20">
        <v>109</v>
      </c>
      <c r="E20">
        <v>111</v>
      </c>
      <c r="F20">
        <f t="shared" si="0"/>
        <v>-2</v>
      </c>
      <c r="G20">
        <f t="shared" si="2"/>
        <v>-1.8018018018018018E-2</v>
      </c>
      <c r="H20" t="s">
        <v>9</v>
      </c>
    </row>
    <row r="21" spans="1:8">
      <c r="A21">
        <v>2022</v>
      </c>
      <c r="B21">
        <v>6</v>
      </c>
      <c r="C21" t="s">
        <v>28</v>
      </c>
      <c r="D21">
        <v>38</v>
      </c>
      <c r="E21">
        <v>36</v>
      </c>
      <c r="F21">
        <f t="shared" si="0"/>
        <v>2</v>
      </c>
      <c r="G21">
        <f t="shared" si="2"/>
        <v>5.5555555555555552E-2</v>
      </c>
      <c r="H21" t="s">
        <v>9</v>
      </c>
    </row>
    <row r="22" spans="1:8">
      <c r="A22">
        <v>2022</v>
      </c>
      <c r="B22">
        <v>6</v>
      </c>
      <c r="C22" t="s">
        <v>29</v>
      </c>
      <c r="D22">
        <v>45</v>
      </c>
      <c r="E22">
        <v>42</v>
      </c>
      <c r="F22">
        <f t="shared" si="0"/>
        <v>3</v>
      </c>
      <c r="G22">
        <f t="shared" si="2"/>
        <v>7.1428571428571425E-2</v>
      </c>
      <c r="H22" t="s">
        <v>9</v>
      </c>
    </row>
    <row r="23" spans="1:8">
      <c r="A23">
        <v>2022</v>
      </c>
      <c r="B23">
        <v>6</v>
      </c>
      <c r="C23" t="s">
        <v>30</v>
      </c>
      <c r="D23">
        <v>97</v>
      </c>
      <c r="E23">
        <v>74</v>
      </c>
      <c r="F23">
        <f t="shared" si="0"/>
        <v>23</v>
      </c>
      <c r="G23">
        <f t="shared" si="2"/>
        <v>0.3108108108108108</v>
      </c>
      <c r="H23" t="s">
        <v>9</v>
      </c>
    </row>
    <row r="24" spans="1:8">
      <c r="A24">
        <v>2022</v>
      </c>
      <c r="B24">
        <v>6</v>
      </c>
      <c r="C24" t="s">
        <v>31</v>
      </c>
      <c r="D24">
        <v>45</v>
      </c>
      <c r="E24">
        <v>52</v>
      </c>
      <c r="F24">
        <f t="shared" si="0"/>
        <v>-7</v>
      </c>
      <c r="G24">
        <f t="shared" si="2"/>
        <v>-0.13461538461538461</v>
      </c>
      <c r="H24" t="s">
        <v>9</v>
      </c>
    </row>
    <row r="25" spans="1:8">
      <c r="A25">
        <v>2022</v>
      </c>
      <c r="B25">
        <v>6</v>
      </c>
      <c r="C25" t="s">
        <v>32</v>
      </c>
      <c r="D25">
        <v>52</v>
      </c>
      <c r="E25">
        <v>45</v>
      </c>
      <c r="F25">
        <f t="shared" si="0"/>
        <v>7</v>
      </c>
      <c r="G25">
        <f t="shared" si="2"/>
        <v>0.15555555555555556</v>
      </c>
      <c r="H25" t="s">
        <v>9</v>
      </c>
    </row>
    <row r="26" spans="1:8">
      <c r="A26">
        <v>2022</v>
      </c>
      <c r="B26">
        <v>6</v>
      </c>
      <c r="C26" t="s">
        <v>33</v>
      </c>
      <c r="D26">
        <v>27</v>
      </c>
      <c r="E26">
        <v>31</v>
      </c>
      <c r="F26">
        <f t="shared" si="0"/>
        <v>-4</v>
      </c>
      <c r="G26">
        <f t="shared" si="2"/>
        <v>-0.12903225806451613</v>
      </c>
      <c r="H26" t="s">
        <v>9</v>
      </c>
    </row>
    <row r="27" spans="1:8">
      <c r="A27">
        <v>2022</v>
      </c>
      <c r="B27">
        <v>6</v>
      </c>
      <c r="C27" t="s">
        <v>15</v>
      </c>
      <c r="D27">
        <v>65</v>
      </c>
      <c r="E27">
        <v>56</v>
      </c>
      <c r="F27">
        <f t="shared" si="0"/>
        <v>9</v>
      </c>
      <c r="G27">
        <f t="shared" si="2"/>
        <v>0.16071428571428573</v>
      </c>
      <c r="H27" t="s">
        <v>34</v>
      </c>
    </row>
    <row r="28" spans="1:8">
      <c r="A28">
        <v>2022</v>
      </c>
      <c r="B28">
        <v>6</v>
      </c>
      <c r="C28" t="s">
        <v>22</v>
      </c>
      <c r="D28">
        <v>14</v>
      </c>
      <c r="E28">
        <v>15</v>
      </c>
      <c r="F28">
        <f t="shared" si="0"/>
        <v>-1</v>
      </c>
      <c r="G28">
        <f t="shared" si="2"/>
        <v>-6.6666666666666666E-2</v>
      </c>
      <c r="H28" t="s">
        <v>34</v>
      </c>
    </row>
    <row r="29" spans="1:8">
      <c r="A29">
        <v>2022</v>
      </c>
      <c r="B29">
        <v>7</v>
      </c>
      <c r="C29" t="s">
        <v>8</v>
      </c>
      <c r="D29">
        <v>10</v>
      </c>
      <c r="E29">
        <v>9</v>
      </c>
      <c r="F29">
        <v>1</v>
      </c>
      <c r="G29">
        <v>0.11111111111111116</v>
      </c>
      <c r="H29" t="s">
        <v>9</v>
      </c>
    </row>
    <row r="30" spans="1:8">
      <c r="A30">
        <v>2022</v>
      </c>
      <c r="B30">
        <v>7</v>
      </c>
      <c r="C30" t="s">
        <v>10</v>
      </c>
      <c r="D30">
        <v>38</v>
      </c>
      <c r="E30">
        <v>30</v>
      </c>
      <c r="F30">
        <v>8</v>
      </c>
      <c r="G30">
        <v>0.26666666666666661</v>
      </c>
      <c r="H30" t="s">
        <v>9</v>
      </c>
    </row>
    <row r="31" spans="1:8">
      <c r="A31">
        <v>2022</v>
      </c>
      <c r="B31">
        <v>7</v>
      </c>
      <c r="C31" t="s">
        <v>11</v>
      </c>
      <c r="D31">
        <v>42</v>
      </c>
      <c r="E31">
        <v>38</v>
      </c>
      <c r="F31">
        <v>4</v>
      </c>
      <c r="G31">
        <v>0.10526315789473695</v>
      </c>
      <c r="H31" t="s">
        <v>9</v>
      </c>
    </row>
    <row r="32" spans="1:8">
      <c r="A32">
        <v>2022</v>
      </c>
      <c r="B32">
        <v>7</v>
      </c>
      <c r="C32" t="s">
        <v>12</v>
      </c>
      <c r="D32">
        <v>65</v>
      </c>
      <c r="E32">
        <v>61</v>
      </c>
      <c r="F32">
        <v>4</v>
      </c>
      <c r="G32">
        <v>6.5573770491803351E-2</v>
      </c>
      <c r="H32" t="s">
        <v>9</v>
      </c>
    </row>
    <row r="33" spans="1:8">
      <c r="A33">
        <v>2022</v>
      </c>
      <c r="B33">
        <v>7</v>
      </c>
      <c r="C33" t="s">
        <v>13</v>
      </c>
      <c r="D33">
        <v>15</v>
      </c>
      <c r="E33">
        <v>15</v>
      </c>
      <c r="F33">
        <v>0</v>
      </c>
      <c r="G33">
        <v>0</v>
      </c>
      <c r="H33" t="s">
        <v>9</v>
      </c>
    </row>
    <row r="34" spans="1:8">
      <c r="A34">
        <v>2022</v>
      </c>
      <c r="B34">
        <v>7</v>
      </c>
      <c r="C34" t="s">
        <v>14</v>
      </c>
      <c r="D34">
        <v>263</v>
      </c>
      <c r="E34">
        <v>262</v>
      </c>
      <c r="F34">
        <v>1</v>
      </c>
      <c r="G34">
        <v>3.8167938931297218E-3</v>
      </c>
      <c r="H34" t="s">
        <v>9</v>
      </c>
    </row>
    <row r="35" spans="1:8">
      <c r="A35">
        <v>2022</v>
      </c>
      <c r="B35">
        <v>7</v>
      </c>
      <c r="C35" t="s">
        <v>15</v>
      </c>
      <c r="D35">
        <v>155</v>
      </c>
      <c r="E35">
        <v>153</v>
      </c>
      <c r="F35">
        <v>2</v>
      </c>
      <c r="G35">
        <v>1.3071895424836555E-2</v>
      </c>
      <c r="H35" t="s">
        <v>9</v>
      </c>
    </row>
    <row r="36" spans="1:8">
      <c r="A36">
        <v>2022</v>
      </c>
      <c r="B36">
        <v>7</v>
      </c>
      <c r="C36" t="s">
        <v>16</v>
      </c>
      <c r="D36">
        <v>48</v>
      </c>
      <c r="E36">
        <v>32</v>
      </c>
      <c r="F36">
        <v>16</v>
      </c>
      <c r="G36">
        <v>0.5</v>
      </c>
      <c r="H36" t="s">
        <v>9</v>
      </c>
    </row>
    <row r="37" spans="1:8">
      <c r="A37">
        <v>2022</v>
      </c>
      <c r="B37">
        <v>7</v>
      </c>
      <c r="C37" t="s">
        <v>17</v>
      </c>
      <c r="D37">
        <v>38</v>
      </c>
      <c r="E37">
        <v>28</v>
      </c>
      <c r="F37">
        <v>10</v>
      </c>
      <c r="G37">
        <v>0.35714285714285721</v>
      </c>
      <c r="H37" t="s">
        <v>9</v>
      </c>
    </row>
    <row r="38" spans="1:8">
      <c r="A38">
        <v>2022</v>
      </c>
      <c r="B38">
        <v>7</v>
      </c>
      <c r="C38" t="s">
        <v>18</v>
      </c>
      <c r="D38">
        <v>63</v>
      </c>
      <c r="E38">
        <v>62</v>
      </c>
      <c r="F38">
        <v>1</v>
      </c>
      <c r="G38">
        <v>1.6129032258064502E-2</v>
      </c>
      <c r="H38" t="s">
        <v>9</v>
      </c>
    </row>
    <row r="39" spans="1:8">
      <c r="A39">
        <v>2022</v>
      </c>
      <c r="B39">
        <v>7</v>
      </c>
      <c r="C39" t="s">
        <v>19</v>
      </c>
      <c r="D39">
        <v>73</v>
      </c>
      <c r="E39">
        <v>58</v>
      </c>
      <c r="F39">
        <v>15</v>
      </c>
      <c r="G39">
        <v>0.25862068965517238</v>
      </c>
      <c r="H39" t="s">
        <v>9</v>
      </c>
    </row>
    <row r="40" spans="1:8">
      <c r="A40">
        <v>2022</v>
      </c>
      <c r="B40">
        <v>7</v>
      </c>
      <c r="C40" t="s">
        <v>20</v>
      </c>
      <c r="D40">
        <v>29</v>
      </c>
      <c r="E40">
        <v>26</v>
      </c>
      <c r="F40">
        <v>3</v>
      </c>
      <c r="G40">
        <v>0.11538461538461542</v>
      </c>
      <c r="H40" t="s">
        <v>9</v>
      </c>
    </row>
    <row r="41" spans="1:8">
      <c r="A41">
        <v>2022</v>
      </c>
      <c r="B41">
        <v>7</v>
      </c>
      <c r="C41" t="s">
        <v>21</v>
      </c>
      <c r="D41">
        <v>122</v>
      </c>
      <c r="E41">
        <v>116</v>
      </c>
      <c r="F41">
        <v>6</v>
      </c>
      <c r="G41">
        <v>5.1724137931034475E-2</v>
      </c>
      <c r="H41" t="s">
        <v>9</v>
      </c>
    </row>
    <row r="42" spans="1:8">
      <c r="A42">
        <v>2022</v>
      </c>
      <c r="B42">
        <v>7</v>
      </c>
      <c r="C42" t="s">
        <v>22</v>
      </c>
      <c r="D42">
        <v>23</v>
      </c>
      <c r="E42">
        <v>29</v>
      </c>
      <c r="F42">
        <v>-6</v>
      </c>
      <c r="G42">
        <v>-0.2068965517241379</v>
      </c>
      <c r="H42" t="s">
        <v>9</v>
      </c>
    </row>
    <row r="43" spans="1:8">
      <c r="A43">
        <v>2022</v>
      </c>
      <c r="B43">
        <v>7</v>
      </c>
      <c r="C43" t="s">
        <v>23</v>
      </c>
      <c r="D43">
        <v>28</v>
      </c>
      <c r="E43">
        <v>25</v>
      </c>
      <c r="F43">
        <v>3</v>
      </c>
      <c r="G43">
        <v>0.12000000000000011</v>
      </c>
      <c r="H43" t="s">
        <v>9</v>
      </c>
    </row>
    <row r="44" spans="1:8">
      <c r="A44">
        <v>2022</v>
      </c>
      <c r="B44">
        <v>7</v>
      </c>
      <c r="C44" t="s">
        <v>24</v>
      </c>
      <c r="D44">
        <v>60</v>
      </c>
      <c r="E44">
        <v>56</v>
      </c>
      <c r="F44">
        <v>4</v>
      </c>
      <c r="G44">
        <v>7.1428571428571397E-2</v>
      </c>
      <c r="H44" t="s">
        <v>9</v>
      </c>
    </row>
    <row r="45" spans="1:8">
      <c r="A45">
        <v>2022</v>
      </c>
      <c r="B45">
        <v>7</v>
      </c>
      <c r="C45" t="s">
        <v>25</v>
      </c>
      <c r="D45">
        <v>84</v>
      </c>
      <c r="E45">
        <v>67</v>
      </c>
      <c r="F45">
        <v>17</v>
      </c>
      <c r="G45">
        <v>0.25373134328358216</v>
      </c>
      <c r="H45" t="s">
        <v>9</v>
      </c>
    </row>
    <row r="46" spans="1:8">
      <c r="A46">
        <v>2022</v>
      </c>
      <c r="B46">
        <v>7</v>
      </c>
      <c r="C46" t="s">
        <v>26</v>
      </c>
      <c r="D46">
        <v>68</v>
      </c>
      <c r="E46">
        <v>53</v>
      </c>
      <c r="F46">
        <v>15</v>
      </c>
      <c r="G46">
        <v>0.28301886792452824</v>
      </c>
      <c r="H46" t="s">
        <v>9</v>
      </c>
    </row>
    <row r="47" spans="1:8">
      <c r="A47">
        <v>2022</v>
      </c>
      <c r="B47">
        <v>7</v>
      </c>
      <c r="C47" t="s">
        <v>27</v>
      </c>
      <c r="D47">
        <v>109</v>
      </c>
      <c r="E47">
        <v>111</v>
      </c>
      <c r="F47">
        <v>-2</v>
      </c>
      <c r="G47">
        <v>-1.8018018018018056E-2</v>
      </c>
      <c r="H47" t="s">
        <v>9</v>
      </c>
    </row>
    <row r="48" spans="1:8">
      <c r="A48">
        <v>2022</v>
      </c>
      <c r="B48">
        <v>7</v>
      </c>
      <c r="C48" t="s">
        <v>28</v>
      </c>
      <c r="D48">
        <v>38</v>
      </c>
      <c r="E48">
        <v>36</v>
      </c>
      <c r="F48">
        <v>2</v>
      </c>
      <c r="G48">
        <v>5.555555555555558E-2</v>
      </c>
      <c r="H48" t="s">
        <v>9</v>
      </c>
    </row>
    <row r="49" spans="1:8">
      <c r="A49">
        <v>2022</v>
      </c>
      <c r="B49">
        <v>7</v>
      </c>
      <c r="C49" t="s">
        <v>29</v>
      </c>
      <c r="D49">
        <v>45</v>
      </c>
      <c r="E49">
        <v>42</v>
      </c>
      <c r="F49">
        <v>3</v>
      </c>
      <c r="G49">
        <v>7.1428571428571397E-2</v>
      </c>
      <c r="H49" t="s">
        <v>9</v>
      </c>
    </row>
    <row r="50" spans="1:8">
      <c r="A50">
        <v>2022</v>
      </c>
      <c r="B50">
        <v>7</v>
      </c>
      <c r="C50" t="s">
        <v>30</v>
      </c>
      <c r="D50">
        <v>97</v>
      </c>
      <c r="E50">
        <v>74</v>
      </c>
      <c r="F50">
        <v>23</v>
      </c>
      <c r="G50">
        <v>0.31081081081081074</v>
      </c>
      <c r="H50" t="s">
        <v>9</v>
      </c>
    </row>
    <row r="51" spans="1:8">
      <c r="A51">
        <v>2022</v>
      </c>
      <c r="B51">
        <v>7</v>
      </c>
      <c r="C51" t="s">
        <v>31</v>
      </c>
      <c r="D51">
        <v>45</v>
      </c>
      <c r="E51">
        <v>52</v>
      </c>
      <c r="F51">
        <v>-7</v>
      </c>
      <c r="G51">
        <v>-0.13461538461538458</v>
      </c>
      <c r="H51" t="s">
        <v>9</v>
      </c>
    </row>
    <row r="52" spans="1:8">
      <c r="A52">
        <v>2022</v>
      </c>
      <c r="B52">
        <v>7</v>
      </c>
      <c r="C52" t="s">
        <v>32</v>
      </c>
      <c r="D52">
        <v>52</v>
      </c>
      <c r="E52">
        <v>45</v>
      </c>
      <c r="F52">
        <v>7</v>
      </c>
      <c r="G52">
        <v>0.15555555555555545</v>
      </c>
      <c r="H52" t="s">
        <v>9</v>
      </c>
    </row>
    <row r="53" spans="1:8">
      <c r="A53">
        <v>2022</v>
      </c>
      <c r="B53">
        <v>7</v>
      </c>
      <c r="C53" t="s">
        <v>33</v>
      </c>
      <c r="D53">
        <v>27</v>
      </c>
      <c r="E53">
        <v>31</v>
      </c>
      <c r="F53">
        <v>-4</v>
      </c>
      <c r="G53">
        <v>-0.12903225806451613</v>
      </c>
      <c r="H53" t="s">
        <v>9</v>
      </c>
    </row>
    <row r="54" spans="1:8">
      <c r="A54">
        <v>2022</v>
      </c>
      <c r="B54">
        <v>7</v>
      </c>
      <c r="C54" t="s">
        <v>35</v>
      </c>
      <c r="D54">
        <v>28</v>
      </c>
      <c r="E54">
        <v>0</v>
      </c>
      <c r="F54">
        <v>28</v>
      </c>
      <c r="G54" t="s">
        <v>36</v>
      </c>
      <c r="H54" t="s">
        <v>9</v>
      </c>
    </row>
    <row r="55" spans="1:8">
      <c r="A55">
        <v>2022</v>
      </c>
      <c r="B55">
        <v>7</v>
      </c>
      <c r="C55" t="s">
        <v>15</v>
      </c>
      <c r="D55">
        <v>65</v>
      </c>
      <c r="E55">
        <v>55</v>
      </c>
      <c r="F55">
        <v>10</v>
      </c>
      <c r="G55">
        <v>0.18181818181818188</v>
      </c>
      <c r="H55" t="s">
        <v>34</v>
      </c>
    </row>
    <row r="56" spans="1:8">
      <c r="A56">
        <v>2022</v>
      </c>
      <c r="B56">
        <v>7</v>
      </c>
      <c r="C56" t="s">
        <v>22</v>
      </c>
      <c r="D56">
        <v>14</v>
      </c>
      <c r="E56">
        <v>15</v>
      </c>
      <c r="F56">
        <v>-1</v>
      </c>
      <c r="G56">
        <v>-6.6666666666666666E-2</v>
      </c>
      <c r="H56" t="s">
        <v>34</v>
      </c>
    </row>
    <row r="57" spans="1:8">
      <c r="A57">
        <v>2022</v>
      </c>
      <c r="B57">
        <v>8</v>
      </c>
      <c r="C57" t="s">
        <v>8</v>
      </c>
      <c r="D57">
        <v>10</v>
      </c>
      <c r="E57">
        <v>9</v>
      </c>
      <c r="F57">
        <v>1</v>
      </c>
      <c r="G57">
        <v>0.11111111111111116</v>
      </c>
      <c r="H57" t="s">
        <v>9</v>
      </c>
    </row>
    <row r="58" spans="1:8">
      <c r="A58">
        <v>2022</v>
      </c>
      <c r="B58">
        <v>8</v>
      </c>
      <c r="C58" t="s">
        <v>10</v>
      </c>
      <c r="D58">
        <v>38</v>
      </c>
      <c r="E58">
        <v>30</v>
      </c>
      <c r="F58">
        <v>8</v>
      </c>
      <c r="G58">
        <v>0.26666666666666661</v>
      </c>
      <c r="H58" t="s">
        <v>9</v>
      </c>
    </row>
    <row r="59" spans="1:8">
      <c r="A59">
        <v>2022</v>
      </c>
      <c r="B59">
        <v>8</v>
      </c>
      <c r="C59" t="s">
        <v>11</v>
      </c>
      <c r="D59">
        <v>42</v>
      </c>
      <c r="E59">
        <v>38</v>
      </c>
      <c r="F59">
        <v>4</v>
      </c>
      <c r="G59">
        <v>0.10526315789473695</v>
      </c>
      <c r="H59" t="s">
        <v>9</v>
      </c>
    </row>
    <row r="60" spans="1:8">
      <c r="A60">
        <v>2022</v>
      </c>
      <c r="B60">
        <v>8</v>
      </c>
      <c r="C60" t="s">
        <v>12</v>
      </c>
      <c r="D60">
        <v>65</v>
      </c>
      <c r="E60">
        <v>61</v>
      </c>
      <c r="F60">
        <v>4</v>
      </c>
      <c r="G60">
        <v>6.5573770491803351E-2</v>
      </c>
      <c r="H60" t="s">
        <v>9</v>
      </c>
    </row>
    <row r="61" spans="1:8">
      <c r="A61">
        <v>2022</v>
      </c>
      <c r="B61">
        <v>8</v>
      </c>
      <c r="C61" t="s">
        <v>13</v>
      </c>
      <c r="D61">
        <v>15</v>
      </c>
      <c r="E61">
        <v>15</v>
      </c>
      <c r="F61">
        <v>0</v>
      </c>
      <c r="G61">
        <v>0</v>
      </c>
      <c r="H61" t="s">
        <v>9</v>
      </c>
    </row>
    <row r="62" spans="1:8">
      <c r="A62">
        <v>2022</v>
      </c>
      <c r="B62">
        <v>8</v>
      </c>
      <c r="C62" t="s">
        <v>14</v>
      </c>
      <c r="D62">
        <v>263</v>
      </c>
      <c r="E62">
        <v>262</v>
      </c>
      <c r="F62">
        <v>1</v>
      </c>
      <c r="G62">
        <v>3.8167938931297218E-3</v>
      </c>
      <c r="H62" t="s">
        <v>9</v>
      </c>
    </row>
    <row r="63" spans="1:8">
      <c r="A63">
        <v>2022</v>
      </c>
      <c r="B63">
        <v>8</v>
      </c>
      <c r="C63" t="s">
        <v>15</v>
      </c>
      <c r="D63">
        <v>157</v>
      </c>
      <c r="E63">
        <v>154</v>
      </c>
      <c r="F63">
        <v>3</v>
      </c>
      <c r="G63">
        <v>1.9480519480519431E-2</v>
      </c>
      <c r="H63" t="s">
        <v>9</v>
      </c>
    </row>
    <row r="64" spans="1:8">
      <c r="A64">
        <v>2022</v>
      </c>
      <c r="B64">
        <v>8</v>
      </c>
      <c r="C64" t="s">
        <v>16</v>
      </c>
      <c r="D64">
        <v>48</v>
      </c>
      <c r="E64">
        <v>32</v>
      </c>
      <c r="F64">
        <v>16</v>
      </c>
      <c r="G64">
        <v>0.5</v>
      </c>
      <c r="H64" t="s">
        <v>9</v>
      </c>
    </row>
    <row r="65" spans="1:8">
      <c r="A65">
        <v>2022</v>
      </c>
      <c r="B65">
        <v>8</v>
      </c>
      <c r="C65" t="s">
        <v>17</v>
      </c>
      <c r="D65">
        <v>38</v>
      </c>
      <c r="E65">
        <v>28</v>
      </c>
      <c r="F65">
        <v>10</v>
      </c>
      <c r="G65">
        <v>0.35714285714285721</v>
      </c>
      <c r="H65" t="s">
        <v>9</v>
      </c>
    </row>
    <row r="66" spans="1:8">
      <c r="A66">
        <v>2022</v>
      </c>
      <c r="B66">
        <v>8</v>
      </c>
      <c r="C66" t="s">
        <v>18</v>
      </c>
      <c r="D66">
        <v>63</v>
      </c>
      <c r="E66">
        <v>62</v>
      </c>
      <c r="F66">
        <v>1</v>
      </c>
      <c r="G66">
        <v>1.6129032258064502E-2</v>
      </c>
      <c r="H66" t="s">
        <v>9</v>
      </c>
    </row>
    <row r="67" spans="1:8">
      <c r="A67">
        <v>2022</v>
      </c>
      <c r="B67">
        <v>8</v>
      </c>
      <c r="C67" t="s">
        <v>19</v>
      </c>
      <c r="D67">
        <v>73</v>
      </c>
      <c r="E67">
        <v>58</v>
      </c>
      <c r="F67">
        <v>15</v>
      </c>
      <c r="G67">
        <v>0.25862068965517238</v>
      </c>
      <c r="H67" t="s">
        <v>9</v>
      </c>
    </row>
    <row r="68" spans="1:8">
      <c r="A68">
        <v>2022</v>
      </c>
      <c r="B68">
        <v>8</v>
      </c>
      <c r="C68" t="s">
        <v>20</v>
      </c>
      <c r="D68">
        <v>29</v>
      </c>
      <c r="E68">
        <v>26</v>
      </c>
      <c r="F68">
        <v>3</v>
      </c>
      <c r="G68">
        <v>0.11538461538461542</v>
      </c>
      <c r="H68" t="s">
        <v>9</v>
      </c>
    </row>
    <row r="69" spans="1:8">
      <c r="A69">
        <v>2022</v>
      </c>
      <c r="B69">
        <v>8</v>
      </c>
      <c r="C69" t="s">
        <v>21</v>
      </c>
      <c r="D69">
        <v>122</v>
      </c>
      <c r="E69">
        <v>116</v>
      </c>
      <c r="F69">
        <v>6</v>
      </c>
      <c r="G69">
        <v>5.1724137931034475E-2</v>
      </c>
      <c r="H69" t="s">
        <v>9</v>
      </c>
    </row>
    <row r="70" spans="1:8">
      <c r="A70">
        <v>2022</v>
      </c>
      <c r="B70">
        <v>8</v>
      </c>
      <c r="C70" t="s">
        <v>22</v>
      </c>
      <c r="D70">
        <v>23</v>
      </c>
      <c r="E70">
        <v>29</v>
      </c>
      <c r="F70">
        <v>-6</v>
      </c>
      <c r="G70">
        <v>-0.2068965517241379</v>
      </c>
      <c r="H70" t="s">
        <v>9</v>
      </c>
    </row>
    <row r="71" spans="1:8">
      <c r="A71">
        <v>2022</v>
      </c>
      <c r="B71">
        <v>8</v>
      </c>
      <c r="C71" t="s">
        <v>23</v>
      </c>
      <c r="D71">
        <v>28</v>
      </c>
      <c r="E71">
        <v>25</v>
      </c>
      <c r="F71">
        <v>3</v>
      </c>
      <c r="G71">
        <v>0.12000000000000011</v>
      </c>
      <c r="H71" t="s">
        <v>9</v>
      </c>
    </row>
    <row r="72" spans="1:8">
      <c r="A72">
        <v>2022</v>
      </c>
      <c r="B72">
        <v>8</v>
      </c>
      <c r="C72" t="s">
        <v>24</v>
      </c>
      <c r="D72">
        <v>60</v>
      </c>
      <c r="E72">
        <v>56</v>
      </c>
      <c r="F72">
        <v>4</v>
      </c>
      <c r="G72">
        <v>7.1428571428571397E-2</v>
      </c>
      <c r="H72" t="s">
        <v>9</v>
      </c>
    </row>
    <row r="73" spans="1:8">
      <c r="A73">
        <v>2022</v>
      </c>
      <c r="B73">
        <v>8</v>
      </c>
      <c r="C73" t="s">
        <v>25</v>
      </c>
      <c r="D73">
        <v>84</v>
      </c>
      <c r="E73">
        <v>67</v>
      </c>
      <c r="F73">
        <v>17</v>
      </c>
      <c r="G73">
        <v>0.25373134328358216</v>
      </c>
      <c r="H73" t="s">
        <v>9</v>
      </c>
    </row>
    <row r="74" spans="1:8">
      <c r="A74">
        <v>2022</v>
      </c>
      <c r="B74">
        <v>8</v>
      </c>
      <c r="C74" t="s">
        <v>26</v>
      </c>
      <c r="D74">
        <v>68</v>
      </c>
      <c r="E74">
        <v>53</v>
      </c>
      <c r="F74">
        <v>15</v>
      </c>
      <c r="G74">
        <v>0.28301886792452824</v>
      </c>
      <c r="H74" t="s">
        <v>9</v>
      </c>
    </row>
    <row r="75" spans="1:8">
      <c r="A75">
        <v>2022</v>
      </c>
      <c r="B75">
        <v>8</v>
      </c>
      <c r="C75" t="s">
        <v>27</v>
      </c>
      <c r="D75">
        <v>109</v>
      </c>
      <c r="E75">
        <v>111</v>
      </c>
      <c r="F75">
        <v>-2</v>
      </c>
      <c r="G75">
        <v>-1.8018018018018056E-2</v>
      </c>
      <c r="H75" t="s">
        <v>9</v>
      </c>
    </row>
    <row r="76" spans="1:8">
      <c r="A76">
        <v>2022</v>
      </c>
      <c r="B76">
        <v>8</v>
      </c>
      <c r="C76" t="s">
        <v>28</v>
      </c>
      <c r="D76">
        <v>38</v>
      </c>
      <c r="E76">
        <v>36</v>
      </c>
      <c r="F76">
        <v>2</v>
      </c>
      <c r="G76">
        <v>5.555555555555558E-2</v>
      </c>
      <c r="H76" t="s">
        <v>9</v>
      </c>
    </row>
    <row r="77" spans="1:8">
      <c r="A77">
        <v>2022</v>
      </c>
      <c r="B77">
        <v>8</v>
      </c>
      <c r="C77" t="s">
        <v>29</v>
      </c>
      <c r="D77">
        <v>45</v>
      </c>
      <c r="E77">
        <v>42</v>
      </c>
      <c r="F77">
        <v>3</v>
      </c>
      <c r="G77">
        <v>7.1428571428571397E-2</v>
      </c>
      <c r="H77" t="s">
        <v>9</v>
      </c>
    </row>
    <row r="78" spans="1:8">
      <c r="A78">
        <v>2022</v>
      </c>
      <c r="B78">
        <v>8</v>
      </c>
      <c r="C78" t="s">
        <v>30</v>
      </c>
      <c r="D78">
        <v>97</v>
      </c>
      <c r="E78">
        <v>74</v>
      </c>
      <c r="F78">
        <v>23</v>
      </c>
      <c r="G78">
        <v>0.31081081081081074</v>
      </c>
      <c r="H78" t="s">
        <v>9</v>
      </c>
    </row>
    <row r="79" spans="1:8">
      <c r="A79">
        <v>2022</v>
      </c>
      <c r="B79">
        <v>8</v>
      </c>
      <c r="C79" t="s">
        <v>31</v>
      </c>
      <c r="D79">
        <v>45</v>
      </c>
      <c r="E79">
        <v>52</v>
      </c>
      <c r="F79">
        <v>-7</v>
      </c>
      <c r="G79">
        <v>-0.13461538461538458</v>
      </c>
      <c r="H79" t="s">
        <v>9</v>
      </c>
    </row>
    <row r="80" spans="1:8">
      <c r="A80">
        <v>2022</v>
      </c>
      <c r="B80">
        <v>8</v>
      </c>
      <c r="C80" t="s">
        <v>32</v>
      </c>
      <c r="D80">
        <v>52</v>
      </c>
      <c r="E80">
        <v>45</v>
      </c>
      <c r="F80">
        <v>7</v>
      </c>
      <c r="G80">
        <v>0.15555555555555545</v>
      </c>
      <c r="H80" t="s">
        <v>9</v>
      </c>
    </row>
    <row r="81" spans="1:8">
      <c r="A81">
        <v>2022</v>
      </c>
      <c r="B81">
        <v>8</v>
      </c>
      <c r="C81" t="s">
        <v>33</v>
      </c>
      <c r="D81">
        <v>27</v>
      </c>
      <c r="E81">
        <v>31</v>
      </c>
      <c r="F81">
        <v>-4</v>
      </c>
      <c r="G81">
        <v>-0.12903225806451613</v>
      </c>
      <c r="H81" t="s">
        <v>9</v>
      </c>
    </row>
    <row r="82" spans="1:8">
      <c r="A82">
        <v>2022</v>
      </c>
      <c r="B82">
        <v>8</v>
      </c>
      <c r="C82" t="s">
        <v>35</v>
      </c>
      <c r="D82">
        <v>28</v>
      </c>
      <c r="E82">
        <v>0</v>
      </c>
      <c r="F82">
        <v>28</v>
      </c>
      <c r="G82" t="s">
        <v>36</v>
      </c>
      <c r="H82" t="s">
        <v>9</v>
      </c>
    </row>
    <row r="83" spans="1:8">
      <c r="A83">
        <v>2022</v>
      </c>
      <c r="B83">
        <v>8</v>
      </c>
      <c r="C83" t="s">
        <v>15</v>
      </c>
      <c r="D83">
        <v>65</v>
      </c>
      <c r="E83">
        <v>55</v>
      </c>
      <c r="F83">
        <v>10</v>
      </c>
      <c r="G83">
        <v>0.18181818181818188</v>
      </c>
      <c r="H83" t="s">
        <v>34</v>
      </c>
    </row>
    <row r="84" spans="1:8">
      <c r="A84">
        <v>2022</v>
      </c>
      <c r="B84">
        <v>8</v>
      </c>
      <c r="C84" t="s">
        <v>22</v>
      </c>
      <c r="D84">
        <v>14</v>
      </c>
      <c r="E84">
        <v>15</v>
      </c>
      <c r="F84">
        <v>-1</v>
      </c>
      <c r="G84">
        <v>-6.6666666666666666E-2</v>
      </c>
      <c r="H84" t="s">
        <v>34</v>
      </c>
    </row>
    <row r="85" spans="1:8">
      <c r="A85">
        <v>2022</v>
      </c>
      <c r="B85">
        <v>9</v>
      </c>
      <c r="C85" t="s">
        <v>8</v>
      </c>
      <c r="D85">
        <v>11</v>
      </c>
      <c r="E85">
        <v>10</v>
      </c>
      <c r="F85">
        <f t="shared" ref="F85:F116" si="3">D85-E85</f>
        <v>1</v>
      </c>
      <c r="G85">
        <f t="shared" ref="G85:G116" si="4">F85/E85</f>
        <v>0.1</v>
      </c>
      <c r="H85" t="s">
        <v>9</v>
      </c>
    </row>
    <row r="86" spans="1:8">
      <c r="A86">
        <v>2022</v>
      </c>
      <c r="B86">
        <v>9</v>
      </c>
      <c r="C86" t="s">
        <v>10</v>
      </c>
      <c r="D86">
        <v>43</v>
      </c>
      <c r="E86">
        <v>34</v>
      </c>
      <c r="F86">
        <f t="shared" si="3"/>
        <v>9</v>
      </c>
      <c r="G86">
        <f t="shared" si="4"/>
        <v>0.26470588235294118</v>
      </c>
      <c r="H86" t="s">
        <v>9</v>
      </c>
    </row>
    <row r="87" spans="1:8">
      <c r="A87">
        <v>2022</v>
      </c>
      <c r="B87">
        <v>9</v>
      </c>
      <c r="C87" t="s">
        <v>11</v>
      </c>
      <c r="D87">
        <v>41</v>
      </c>
      <c r="E87">
        <v>37</v>
      </c>
      <c r="F87">
        <f t="shared" si="3"/>
        <v>4</v>
      </c>
      <c r="G87">
        <f t="shared" si="4"/>
        <v>0.10810810810810811</v>
      </c>
      <c r="H87" t="s">
        <v>9</v>
      </c>
    </row>
    <row r="88" spans="1:8">
      <c r="A88">
        <v>2022</v>
      </c>
      <c r="B88">
        <v>9</v>
      </c>
      <c r="C88" t="s">
        <v>12</v>
      </c>
      <c r="D88">
        <v>67</v>
      </c>
      <c r="E88">
        <v>73</v>
      </c>
      <c r="F88">
        <f t="shared" si="3"/>
        <v>-6</v>
      </c>
      <c r="G88">
        <f t="shared" si="4"/>
        <v>-8.2191780821917804E-2</v>
      </c>
      <c r="H88" t="s">
        <v>9</v>
      </c>
    </row>
    <row r="89" spans="1:8">
      <c r="A89">
        <v>2022</v>
      </c>
      <c r="B89">
        <v>9</v>
      </c>
      <c r="C89" t="s">
        <v>13</v>
      </c>
      <c r="D89">
        <v>15</v>
      </c>
      <c r="E89">
        <v>15</v>
      </c>
      <c r="F89">
        <f t="shared" si="3"/>
        <v>0</v>
      </c>
      <c r="G89">
        <f t="shared" si="4"/>
        <v>0</v>
      </c>
      <c r="H89" t="s">
        <v>9</v>
      </c>
    </row>
    <row r="90" spans="1:8">
      <c r="A90">
        <v>2022</v>
      </c>
      <c r="B90">
        <v>9</v>
      </c>
      <c r="C90" t="s">
        <v>14</v>
      </c>
      <c r="D90">
        <v>277</v>
      </c>
      <c r="E90">
        <v>273</v>
      </c>
      <c r="F90">
        <f t="shared" si="3"/>
        <v>4</v>
      </c>
      <c r="G90">
        <f t="shared" si="4"/>
        <v>1.4652014652014652E-2</v>
      </c>
      <c r="H90" t="s">
        <v>9</v>
      </c>
    </row>
    <row r="91" spans="1:8">
      <c r="A91">
        <v>2022</v>
      </c>
      <c r="B91">
        <v>9</v>
      </c>
      <c r="C91" t="s">
        <v>15</v>
      </c>
      <c r="D91">
        <v>166</v>
      </c>
      <c r="E91">
        <v>153</v>
      </c>
      <c r="F91">
        <f t="shared" si="3"/>
        <v>13</v>
      </c>
      <c r="G91">
        <f t="shared" si="4"/>
        <v>8.4967320261437912E-2</v>
      </c>
      <c r="H91" t="s">
        <v>9</v>
      </c>
    </row>
    <row r="92" spans="1:8">
      <c r="A92">
        <v>2022</v>
      </c>
      <c r="B92">
        <v>9</v>
      </c>
      <c r="C92" t="s">
        <v>16</v>
      </c>
      <c r="D92">
        <v>32</v>
      </c>
      <c r="E92">
        <v>37</v>
      </c>
      <c r="F92">
        <f t="shared" si="3"/>
        <v>-5</v>
      </c>
      <c r="G92">
        <f t="shared" si="4"/>
        <v>-0.13513513513513514</v>
      </c>
      <c r="H92" t="s">
        <v>9</v>
      </c>
    </row>
    <row r="93" spans="1:8">
      <c r="A93">
        <v>2022</v>
      </c>
      <c r="B93">
        <v>9</v>
      </c>
      <c r="C93" t="s">
        <v>17</v>
      </c>
      <c r="D93">
        <v>38</v>
      </c>
      <c r="E93">
        <v>28</v>
      </c>
      <c r="F93">
        <f t="shared" si="3"/>
        <v>10</v>
      </c>
      <c r="G93">
        <f t="shared" si="4"/>
        <v>0.35714285714285715</v>
      </c>
      <c r="H93" t="s">
        <v>9</v>
      </c>
    </row>
    <row r="94" spans="1:8">
      <c r="A94">
        <v>2022</v>
      </c>
      <c r="B94">
        <v>9</v>
      </c>
      <c r="C94" t="s">
        <v>18</v>
      </c>
      <c r="D94">
        <v>64</v>
      </c>
      <c r="E94">
        <v>50</v>
      </c>
      <c r="F94">
        <f t="shared" si="3"/>
        <v>14</v>
      </c>
      <c r="G94">
        <f t="shared" si="4"/>
        <v>0.28000000000000003</v>
      </c>
      <c r="H94" t="s">
        <v>9</v>
      </c>
    </row>
    <row r="95" spans="1:8">
      <c r="A95">
        <v>2022</v>
      </c>
      <c r="B95">
        <v>9</v>
      </c>
      <c r="C95" t="s">
        <v>19</v>
      </c>
      <c r="D95">
        <v>76</v>
      </c>
      <c r="E95">
        <v>59</v>
      </c>
      <c r="F95">
        <f t="shared" si="3"/>
        <v>17</v>
      </c>
      <c r="G95">
        <f t="shared" si="4"/>
        <v>0.28813559322033899</v>
      </c>
      <c r="H95" t="s">
        <v>9</v>
      </c>
    </row>
    <row r="96" spans="1:8">
      <c r="A96">
        <v>2022</v>
      </c>
      <c r="B96">
        <v>9</v>
      </c>
      <c r="C96" t="s">
        <v>20</v>
      </c>
      <c r="D96">
        <v>28</v>
      </c>
      <c r="E96">
        <v>26</v>
      </c>
      <c r="F96">
        <f t="shared" si="3"/>
        <v>2</v>
      </c>
      <c r="G96">
        <f t="shared" si="4"/>
        <v>7.6923076923076927E-2</v>
      </c>
      <c r="H96" t="s">
        <v>9</v>
      </c>
    </row>
    <row r="97" spans="1:8">
      <c r="A97">
        <v>2022</v>
      </c>
      <c r="B97">
        <v>9</v>
      </c>
      <c r="C97" t="s">
        <v>21</v>
      </c>
      <c r="D97">
        <v>115</v>
      </c>
      <c r="E97">
        <v>116</v>
      </c>
      <c r="F97">
        <f t="shared" si="3"/>
        <v>-1</v>
      </c>
      <c r="G97">
        <f t="shared" si="4"/>
        <v>-8.6206896551724137E-3</v>
      </c>
      <c r="H97" t="s">
        <v>9</v>
      </c>
    </row>
    <row r="98" spans="1:8">
      <c r="A98">
        <v>2022</v>
      </c>
      <c r="B98">
        <v>9</v>
      </c>
      <c r="C98" t="s">
        <v>22</v>
      </c>
      <c r="D98">
        <v>21</v>
      </c>
      <c r="E98">
        <v>26</v>
      </c>
      <c r="F98">
        <f t="shared" si="3"/>
        <v>-5</v>
      </c>
      <c r="G98">
        <f t="shared" si="4"/>
        <v>-0.19230769230769232</v>
      </c>
      <c r="H98" t="s">
        <v>9</v>
      </c>
    </row>
    <row r="99" spans="1:8">
      <c r="A99">
        <v>2022</v>
      </c>
      <c r="B99">
        <v>9</v>
      </c>
      <c r="C99" t="s">
        <v>23</v>
      </c>
      <c r="D99">
        <v>31</v>
      </c>
      <c r="E99">
        <v>26</v>
      </c>
      <c r="F99">
        <f t="shared" si="3"/>
        <v>5</v>
      </c>
      <c r="G99">
        <f t="shared" si="4"/>
        <v>0.19230769230769232</v>
      </c>
      <c r="H99" t="s">
        <v>9</v>
      </c>
    </row>
    <row r="100" spans="1:8">
      <c r="A100">
        <v>2022</v>
      </c>
      <c r="B100">
        <v>9</v>
      </c>
      <c r="C100" t="s">
        <v>24</v>
      </c>
      <c r="D100">
        <v>61</v>
      </c>
      <c r="E100">
        <v>57</v>
      </c>
      <c r="F100">
        <f t="shared" si="3"/>
        <v>4</v>
      </c>
      <c r="G100">
        <f t="shared" si="4"/>
        <v>7.0175438596491224E-2</v>
      </c>
      <c r="H100" t="s">
        <v>9</v>
      </c>
    </row>
    <row r="101" spans="1:8">
      <c r="A101">
        <v>2022</v>
      </c>
      <c r="B101">
        <v>9</v>
      </c>
      <c r="C101" t="s">
        <v>25</v>
      </c>
      <c r="D101">
        <v>76</v>
      </c>
      <c r="E101">
        <v>79</v>
      </c>
      <c r="F101">
        <f t="shared" si="3"/>
        <v>-3</v>
      </c>
      <c r="G101">
        <f t="shared" si="4"/>
        <v>-3.7974683544303799E-2</v>
      </c>
      <c r="H101" t="s">
        <v>9</v>
      </c>
    </row>
    <row r="102" spans="1:8">
      <c r="A102">
        <v>2022</v>
      </c>
      <c r="B102">
        <v>9</v>
      </c>
      <c r="C102" t="s">
        <v>26</v>
      </c>
      <c r="D102">
        <v>67</v>
      </c>
      <c r="E102">
        <v>46</v>
      </c>
      <c r="F102">
        <f t="shared" si="3"/>
        <v>21</v>
      </c>
      <c r="G102">
        <f t="shared" si="4"/>
        <v>0.45652173913043476</v>
      </c>
      <c r="H102" t="s">
        <v>9</v>
      </c>
    </row>
    <row r="103" spans="1:8">
      <c r="A103">
        <v>2022</v>
      </c>
      <c r="B103">
        <v>9</v>
      </c>
      <c r="C103" t="s">
        <v>27</v>
      </c>
      <c r="D103">
        <v>109</v>
      </c>
      <c r="E103">
        <v>112</v>
      </c>
      <c r="F103">
        <f t="shared" si="3"/>
        <v>-3</v>
      </c>
      <c r="G103">
        <f t="shared" si="4"/>
        <v>-2.6785714285714284E-2</v>
      </c>
      <c r="H103" t="s">
        <v>9</v>
      </c>
    </row>
    <row r="104" spans="1:8">
      <c r="A104">
        <v>2022</v>
      </c>
      <c r="B104">
        <v>9</v>
      </c>
      <c r="C104" t="s">
        <v>28</v>
      </c>
      <c r="D104">
        <v>36</v>
      </c>
      <c r="E104">
        <v>36</v>
      </c>
      <c r="F104">
        <f t="shared" si="3"/>
        <v>0</v>
      </c>
      <c r="G104">
        <f t="shared" si="4"/>
        <v>0</v>
      </c>
      <c r="H104" t="s">
        <v>9</v>
      </c>
    </row>
    <row r="105" spans="1:8">
      <c r="A105">
        <v>2022</v>
      </c>
      <c r="B105">
        <v>9</v>
      </c>
      <c r="C105" t="s">
        <v>29</v>
      </c>
      <c r="D105">
        <v>44</v>
      </c>
      <c r="E105">
        <v>43</v>
      </c>
      <c r="F105">
        <f t="shared" si="3"/>
        <v>1</v>
      </c>
      <c r="G105">
        <f t="shared" si="4"/>
        <v>2.3255813953488372E-2</v>
      </c>
      <c r="H105" t="s">
        <v>9</v>
      </c>
    </row>
    <row r="106" spans="1:8">
      <c r="A106">
        <v>2022</v>
      </c>
      <c r="B106">
        <v>9</v>
      </c>
      <c r="C106" t="s">
        <v>30</v>
      </c>
      <c r="D106">
        <v>80</v>
      </c>
      <c r="E106">
        <v>93</v>
      </c>
      <c r="F106">
        <f t="shared" si="3"/>
        <v>-13</v>
      </c>
      <c r="G106">
        <f t="shared" si="4"/>
        <v>-0.13978494623655913</v>
      </c>
      <c r="H106" t="s">
        <v>9</v>
      </c>
    </row>
    <row r="107" spans="1:8">
      <c r="A107">
        <v>2022</v>
      </c>
      <c r="B107">
        <v>9</v>
      </c>
      <c r="C107" t="s">
        <v>31</v>
      </c>
      <c r="D107">
        <v>46</v>
      </c>
      <c r="E107">
        <v>54</v>
      </c>
      <c r="F107">
        <f t="shared" si="3"/>
        <v>-8</v>
      </c>
      <c r="G107">
        <f t="shared" si="4"/>
        <v>-0.14814814814814814</v>
      </c>
      <c r="H107" t="s">
        <v>9</v>
      </c>
    </row>
    <row r="108" spans="1:8">
      <c r="A108">
        <v>2022</v>
      </c>
      <c r="B108">
        <v>9</v>
      </c>
      <c r="C108" t="s">
        <v>32</v>
      </c>
      <c r="D108">
        <v>55</v>
      </c>
      <c r="E108">
        <v>39</v>
      </c>
      <c r="F108">
        <f t="shared" si="3"/>
        <v>16</v>
      </c>
      <c r="G108">
        <f t="shared" si="4"/>
        <v>0.41025641025641024</v>
      </c>
      <c r="H108" t="s">
        <v>9</v>
      </c>
    </row>
    <row r="109" spans="1:8">
      <c r="A109">
        <v>2022</v>
      </c>
      <c r="B109">
        <v>9</v>
      </c>
      <c r="C109" t="s">
        <v>33</v>
      </c>
      <c r="D109">
        <v>30</v>
      </c>
      <c r="E109">
        <v>31</v>
      </c>
      <c r="F109">
        <f t="shared" si="3"/>
        <v>-1</v>
      </c>
      <c r="G109">
        <f t="shared" si="4"/>
        <v>-3.2258064516129031E-2</v>
      </c>
      <c r="H109" t="s">
        <v>9</v>
      </c>
    </row>
    <row r="110" spans="1:8">
      <c r="A110">
        <v>2022</v>
      </c>
      <c r="B110">
        <v>9</v>
      </c>
      <c r="C110" t="s">
        <v>35</v>
      </c>
      <c r="D110">
        <v>30</v>
      </c>
      <c r="E110">
        <v>0</v>
      </c>
      <c r="F110">
        <f t="shared" si="3"/>
        <v>30</v>
      </c>
      <c r="G110" t="e">
        <f t="shared" si="4"/>
        <v>#DIV/0!</v>
      </c>
      <c r="H110" t="s">
        <v>9</v>
      </c>
    </row>
    <row r="111" spans="1:8">
      <c r="A111">
        <v>2022</v>
      </c>
      <c r="B111">
        <v>9</v>
      </c>
      <c r="C111" t="s">
        <v>15</v>
      </c>
      <c r="D111">
        <v>65</v>
      </c>
      <c r="E111">
        <v>56</v>
      </c>
      <c r="F111">
        <f t="shared" si="3"/>
        <v>9</v>
      </c>
      <c r="G111">
        <f t="shared" si="4"/>
        <v>0.16071428571428573</v>
      </c>
      <c r="H111" t="s">
        <v>34</v>
      </c>
    </row>
    <row r="112" spans="1:8">
      <c r="A112">
        <v>2022</v>
      </c>
      <c r="B112">
        <v>9</v>
      </c>
      <c r="C112" t="s">
        <v>22</v>
      </c>
      <c r="D112">
        <v>13</v>
      </c>
      <c r="E112">
        <v>15</v>
      </c>
      <c r="F112">
        <f t="shared" si="3"/>
        <v>-2</v>
      </c>
      <c r="G112">
        <f t="shared" si="4"/>
        <v>-0.13333333333333333</v>
      </c>
      <c r="H112" t="s">
        <v>34</v>
      </c>
    </row>
    <row r="113" spans="1:8">
      <c r="A113">
        <v>2022</v>
      </c>
      <c r="B113">
        <v>10</v>
      </c>
      <c r="C113" t="s">
        <v>8</v>
      </c>
      <c r="D113">
        <v>11</v>
      </c>
      <c r="E113">
        <v>10</v>
      </c>
      <c r="F113">
        <f t="shared" si="3"/>
        <v>1</v>
      </c>
      <c r="G113">
        <f t="shared" si="4"/>
        <v>0.1</v>
      </c>
      <c r="H113" t="s">
        <v>9</v>
      </c>
    </row>
    <row r="114" spans="1:8">
      <c r="A114">
        <v>2022</v>
      </c>
      <c r="B114">
        <v>10</v>
      </c>
      <c r="C114" t="s">
        <v>10</v>
      </c>
      <c r="D114">
        <v>43</v>
      </c>
      <c r="E114">
        <v>34</v>
      </c>
      <c r="F114">
        <f t="shared" si="3"/>
        <v>9</v>
      </c>
      <c r="G114">
        <f t="shared" si="4"/>
        <v>0.26470588235294118</v>
      </c>
      <c r="H114" t="s">
        <v>9</v>
      </c>
    </row>
    <row r="115" spans="1:8">
      <c r="A115">
        <v>2022</v>
      </c>
      <c r="B115">
        <v>10</v>
      </c>
      <c r="C115" t="s">
        <v>11</v>
      </c>
      <c r="D115">
        <v>41</v>
      </c>
      <c r="E115">
        <v>37</v>
      </c>
      <c r="F115">
        <f t="shared" si="3"/>
        <v>4</v>
      </c>
      <c r="G115">
        <f t="shared" si="4"/>
        <v>0.10810810810810811</v>
      </c>
      <c r="H115" t="s">
        <v>9</v>
      </c>
    </row>
    <row r="116" spans="1:8">
      <c r="A116">
        <v>2022</v>
      </c>
      <c r="B116">
        <v>10</v>
      </c>
      <c r="C116" t="s">
        <v>12</v>
      </c>
      <c r="D116">
        <v>67</v>
      </c>
      <c r="E116">
        <v>73</v>
      </c>
      <c r="F116">
        <f t="shared" si="3"/>
        <v>-6</v>
      </c>
      <c r="G116">
        <f t="shared" si="4"/>
        <v>-8.2191780821917804E-2</v>
      </c>
      <c r="H116" t="s">
        <v>9</v>
      </c>
    </row>
    <row r="117" spans="1:8">
      <c r="A117">
        <v>2022</v>
      </c>
      <c r="B117">
        <v>10</v>
      </c>
      <c r="C117" t="s">
        <v>13</v>
      </c>
      <c r="D117">
        <v>15</v>
      </c>
      <c r="E117">
        <v>15</v>
      </c>
      <c r="F117">
        <f t="shared" ref="F117:F148" si="5">D117-E117</f>
        <v>0</v>
      </c>
      <c r="G117">
        <f t="shared" ref="G117:G148" si="6">F117/E117</f>
        <v>0</v>
      </c>
      <c r="H117" t="s">
        <v>9</v>
      </c>
    </row>
    <row r="118" spans="1:8">
      <c r="A118">
        <v>2022</v>
      </c>
      <c r="B118">
        <v>10</v>
      </c>
      <c r="C118" t="s">
        <v>14</v>
      </c>
      <c r="D118">
        <v>277</v>
      </c>
      <c r="E118">
        <v>273</v>
      </c>
      <c r="F118">
        <f t="shared" si="5"/>
        <v>4</v>
      </c>
      <c r="G118">
        <f t="shared" si="6"/>
        <v>1.4652014652014652E-2</v>
      </c>
      <c r="H118" t="s">
        <v>9</v>
      </c>
    </row>
    <row r="119" spans="1:8">
      <c r="A119">
        <v>2022</v>
      </c>
      <c r="B119">
        <v>10</v>
      </c>
      <c r="C119" t="s">
        <v>15</v>
      </c>
      <c r="D119">
        <v>166</v>
      </c>
      <c r="E119">
        <v>153</v>
      </c>
      <c r="F119">
        <f t="shared" si="5"/>
        <v>13</v>
      </c>
      <c r="G119">
        <f t="shared" si="6"/>
        <v>8.4967320261437912E-2</v>
      </c>
      <c r="H119" t="s">
        <v>9</v>
      </c>
    </row>
    <row r="120" spans="1:8">
      <c r="A120">
        <v>2022</v>
      </c>
      <c r="B120">
        <v>10</v>
      </c>
      <c r="C120" t="s">
        <v>16</v>
      </c>
      <c r="D120">
        <v>32</v>
      </c>
      <c r="E120">
        <v>37</v>
      </c>
      <c r="F120">
        <f t="shared" si="5"/>
        <v>-5</v>
      </c>
      <c r="G120">
        <f t="shared" si="6"/>
        <v>-0.13513513513513514</v>
      </c>
      <c r="H120" t="s">
        <v>9</v>
      </c>
    </row>
    <row r="121" spans="1:8">
      <c r="A121">
        <v>2022</v>
      </c>
      <c r="B121">
        <v>10</v>
      </c>
      <c r="C121" t="s">
        <v>17</v>
      </c>
      <c r="D121">
        <v>38</v>
      </c>
      <c r="E121">
        <v>28</v>
      </c>
      <c r="F121">
        <f t="shared" si="5"/>
        <v>10</v>
      </c>
      <c r="G121">
        <f t="shared" si="6"/>
        <v>0.35714285714285715</v>
      </c>
      <c r="H121" t="s">
        <v>9</v>
      </c>
    </row>
    <row r="122" spans="1:8">
      <c r="A122">
        <v>2022</v>
      </c>
      <c r="B122">
        <v>10</v>
      </c>
      <c r="C122" t="s">
        <v>18</v>
      </c>
      <c r="D122">
        <v>64</v>
      </c>
      <c r="E122">
        <v>50</v>
      </c>
      <c r="F122">
        <f t="shared" si="5"/>
        <v>14</v>
      </c>
      <c r="G122">
        <f t="shared" si="6"/>
        <v>0.28000000000000003</v>
      </c>
      <c r="H122" t="s">
        <v>9</v>
      </c>
    </row>
    <row r="123" spans="1:8">
      <c r="A123">
        <v>2022</v>
      </c>
      <c r="B123">
        <v>10</v>
      </c>
      <c r="C123" t="s">
        <v>19</v>
      </c>
      <c r="D123">
        <v>76</v>
      </c>
      <c r="E123">
        <v>59</v>
      </c>
      <c r="F123">
        <f t="shared" si="5"/>
        <v>17</v>
      </c>
      <c r="G123">
        <f t="shared" si="6"/>
        <v>0.28813559322033899</v>
      </c>
      <c r="H123" t="s">
        <v>9</v>
      </c>
    </row>
    <row r="124" spans="1:8">
      <c r="A124">
        <v>2022</v>
      </c>
      <c r="B124">
        <v>10</v>
      </c>
      <c r="C124" t="s">
        <v>20</v>
      </c>
      <c r="D124">
        <v>28</v>
      </c>
      <c r="E124">
        <v>26</v>
      </c>
      <c r="F124">
        <f t="shared" si="5"/>
        <v>2</v>
      </c>
      <c r="G124">
        <f t="shared" si="6"/>
        <v>7.6923076923076927E-2</v>
      </c>
      <c r="H124" t="s">
        <v>9</v>
      </c>
    </row>
    <row r="125" spans="1:8">
      <c r="A125">
        <v>2022</v>
      </c>
      <c r="B125">
        <v>10</v>
      </c>
      <c r="C125" t="s">
        <v>21</v>
      </c>
      <c r="D125">
        <v>115</v>
      </c>
      <c r="E125">
        <v>116</v>
      </c>
      <c r="F125">
        <f t="shared" si="5"/>
        <v>-1</v>
      </c>
      <c r="G125">
        <f t="shared" si="6"/>
        <v>-8.6206896551724137E-3</v>
      </c>
      <c r="H125" t="s">
        <v>9</v>
      </c>
    </row>
    <row r="126" spans="1:8">
      <c r="A126">
        <v>2022</v>
      </c>
      <c r="B126">
        <v>10</v>
      </c>
      <c r="C126" t="s">
        <v>22</v>
      </c>
      <c r="D126">
        <v>21</v>
      </c>
      <c r="E126">
        <v>26</v>
      </c>
      <c r="F126">
        <f t="shared" si="5"/>
        <v>-5</v>
      </c>
      <c r="G126">
        <f t="shared" si="6"/>
        <v>-0.19230769230769232</v>
      </c>
      <c r="H126" t="s">
        <v>9</v>
      </c>
    </row>
    <row r="127" spans="1:8">
      <c r="A127">
        <v>2022</v>
      </c>
      <c r="B127">
        <v>10</v>
      </c>
      <c r="C127" t="s">
        <v>23</v>
      </c>
      <c r="D127">
        <v>31</v>
      </c>
      <c r="E127">
        <v>26</v>
      </c>
      <c r="F127">
        <f t="shared" si="5"/>
        <v>5</v>
      </c>
      <c r="G127">
        <f t="shared" si="6"/>
        <v>0.19230769230769232</v>
      </c>
      <c r="H127" t="s">
        <v>9</v>
      </c>
    </row>
    <row r="128" spans="1:8">
      <c r="A128">
        <v>2022</v>
      </c>
      <c r="B128">
        <v>10</v>
      </c>
      <c r="C128" t="s">
        <v>24</v>
      </c>
      <c r="D128">
        <v>61</v>
      </c>
      <c r="E128">
        <v>57</v>
      </c>
      <c r="F128">
        <f t="shared" si="5"/>
        <v>4</v>
      </c>
      <c r="G128">
        <f t="shared" si="6"/>
        <v>7.0175438596491224E-2</v>
      </c>
      <c r="H128" t="s">
        <v>9</v>
      </c>
    </row>
    <row r="129" spans="1:8">
      <c r="A129">
        <v>2022</v>
      </c>
      <c r="B129">
        <v>10</v>
      </c>
      <c r="C129" t="s">
        <v>25</v>
      </c>
      <c r="D129">
        <v>76</v>
      </c>
      <c r="E129">
        <v>79</v>
      </c>
      <c r="F129">
        <f t="shared" si="5"/>
        <v>-3</v>
      </c>
      <c r="G129">
        <f t="shared" si="6"/>
        <v>-3.7974683544303799E-2</v>
      </c>
      <c r="H129" t="s">
        <v>9</v>
      </c>
    </row>
    <row r="130" spans="1:8">
      <c r="A130">
        <v>2022</v>
      </c>
      <c r="B130">
        <v>10</v>
      </c>
      <c r="C130" t="s">
        <v>26</v>
      </c>
      <c r="D130">
        <v>67</v>
      </c>
      <c r="E130">
        <v>46</v>
      </c>
      <c r="F130">
        <f t="shared" si="5"/>
        <v>21</v>
      </c>
      <c r="G130">
        <f t="shared" si="6"/>
        <v>0.45652173913043476</v>
      </c>
      <c r="H130" t="s">
        <v>9</v>
      </c>
    </row>
    <row r="131" spans="1:8">
      <c r="A131">
        <v>2022</v>
      </c>
      <c r="B131">
        <v>10</v>
      </c>
      <c r="C131" t="s">
        <v>27</v>
      </c>
      <c r="D131">
        <v>109</v>
      </c>
      <c r="E131">
        <v>112</v>
      </c>
      <c r="F131">
        <f t="shared" si="5"/>
        <v>-3</v>
      </c>
      <c r="G131">
        <f t="shared" si="6"/>
        <v>-2.6785714285714284E-2</v>
      </c>
      <c r="H131" t="s">
        <v>9</v>
      </c>
    </row>
    <row r="132" spans="1:8">
      <c r="A132">
        <v>2022</v>
      </c>
      <c r="B132">
        <v>10</v>
      </c>
      <c r="C132" t="s">
        <v>28</v>
      </c>
      <c r="D132">
        <v>36</v>
      </c>
      <c r="E132">
        <v>36</v>
      </c>
      <c r="F132">
        <f t="shared" si="5"/>
        <v>0</v>
      </c>
      <c r="G132">
        <f t="shared" si="6"/>
        <v>0</v>
      </c>
      <c r="H132" t="s">
        <v>9</v>
      </c>
    </row>
    <row r="133" spans="1:8">
      <c r="A133">
        <v>2022</v>
      </c>
      <c r="B133">
        <v>10</v>
      </c>
      <c r="C133" t="s">
        <v>29</v>
      </c>
      <c r="D133">
        <v>44</v>
      </c>
      <c r="E133">
        <v>43</v>
      </c>
      <c r="F133">
        <f t="shared" si="5"/>
        <v>1</v>
      </c>
      <c r="G133">
        <f t="shared" si="6"/>
        <v>2.3255813953488372E-2</v>
      </c>
      <c r="H133" t="s">
        <v>9</v>
      </c>
    </row>
    <row r="134" spans="1:8">
      <c r="A134">
        <v>2022</v>
      </c>
      <c r="B134">
        <v>10</v>
      </c>
      <c r="C134" t="s">
        <v>30</v>
      </c>
      <c r="D134">
        <v>80</v>
      </c>
      <c r="E134">
        <v>93</v>
      </c>
      <c r="F134">
        <f t="shared" si="5"/>
        <v>-13</v>
      </c>
      <c r="G134">
        <f t="shared" si="6"/>
        <v>-0.13978494623655913</v>
      </c>
      <c r="H134" t="s">
        <v>9</v>
      </c>
    </row>
    <row r="135" spans="1:8">
      <c r="A135">
        <v>2022</v>
      </c>
      <c r="B135">
        <v>10</v>
      </c>
      <c r="C135" t="s">
        <v>31</v>
      </c>
      <c r="D135">
        <v>46</v>
      </c>
      <c r="E135">
        <v>54</v>
      </c>
      <c r="F135">
        <f t="shared" si="5"/>
        <v>-8</v>
      </c>
      <c r="G135">
        <f t="shared" si="6"/>
        <v>-0.14814814814814814</v>
      </c>
      <c r="H135" t="s">
        <v>9</v>
      </c>
    </row>
    <row r="136" spans="1:8">
      <c r="A136">
        <v>2022</v>
      </c>
      <c r="B136">
        <v>10</v>
      </c>
      <c r="C136" t="s">
        <v>32</v>
      </c>
      <c r="D136">
        <v>55</v>
      </c>
      <c r="E136">
        <v>39</v>
      </c>
      <c r="F136">
        <f t="shared" si="5"/>
        <v>16</v>
      </c>
      <c r="G136">
        <f t="shared" si="6"/>
        <v>0.41025641025641024</v>
      </c>
      <c r="H136" t="s">
        <v>9</v>
      </c>
    </row>
    <row r="137" spans="1:8">
      <c r="A137">
        <v>2022</v>
      </c>
      <c r="B137">
        <v>10</v>
      </c>
      <c r="C137" t="s">
        <v>33</v>
      </c>
      <c r="D137">
        <v>30</v>
      </c>
      <c r="E137">
        <v>31</v>
      </c>
      <c r="F137">
        <f t="shared" si="5"/>
        <v>-1</v>
      </c>
      <c r="G137">
        <f t="shared" si="6"/>
        <v>-3.2258064516129031E-2</v>
      </c>
      <c r="H137" t="s">
        <v>9</v>
      </c>
    </row>
    <row r="138" spans="1:8">
      <c r="A138">
        <v>2022</v>
      </c>
      <c r="B138">
        <v>10</v>
      </c>
      <c r="C138" t="s">
        <v>35</v>
      </c>
      <c r="D138">
        <v>30</v>
      </c>
      <c r="E138">
        <v>0</v>
      </c>
      <c r="F138">
        <f t="shared" si="5"/>
        <v>30</v>
      </c>
      <c r="G138" t="e">
        <f t="shared" si="6"/>
        <v>#DIV/0!</v>
      </c>
      <c r="H138" t="s">
        <v>9</v>
      </c>
    </row>
    <row r="139" spans="1:8">
      <c r="A139">
        <v>2022</v>
      </c>
      <c r="B139">
        <v>10</v>
      </c>
      <c r="C139" t="s">
        <v>15</v>
      </c>
      <c r="D139">
        <v>65</v>
      </c>
      <c r="E139">
        <v>56</v>
      </c>
      <c r="F139">
        <f t="shared" si="5"/>
        <v>9</v>
      </c>
      <c r="G139">
        <f t="shared" si="6"/>
        <v>0.16071428571428573</v>
      </c>
      <c r="H139" t="s">
        <v>34</v>
      </c>
    </row>
    <row r="140" spans="1:8">
      <c r="A140">
        <v>2022</v>
      </c>
      <c r="B140">
        <v>10</v>
      </c>
      <c r="C140" t="s">
        <v>22</v>
      </c>
      <c r="D140">
        <v>13</v>
      </c>
      <c r="E140">
        <v>15</v>
      </c>
      <c r="F140">
        <f t="shared" si="5"/>
        <v>-2</v>
      </c>
      <c r="G140">
        <f t="shared" si="6"/>
        <v>-0.13333333333333333</v>
      </c>
      <c r="H140" t="s">
        <v>34</v>
      </c>
    </row>
    <row r="141" spans="1:8">
      <c r="A141">
        <v>2022</v>
      </c>
      <c r="B141">
        <v>11</v>
      </c>
      <c r="C141" t="s">
        <v>8</v>
      </c>
      <c r="D141">
        <v>11</v>
      </c>
      <c r="E141">
        <v>10</v>
      </c>
      <c r="F141">
        <f t="shared" si="5"/>
        <v>1</v>
      </c>
      <c r="G141">
        <f t="shared" si="6"/>
        <v>0.1</v>
      </c>
      <c r="H141" t="s">
        <v>9</v>
      </c>
    </row>
    <row r="142" spans="1:8">
      <c r="A142">
        <v>2022</v>
      </c>
      <c r="B142">
        <v>11</v>
      </c>
      <c r="C142" t="s">
        <v>10</v>
      </c>
      <c r="D142">
        <v>43</v>
      </c>
      <c r="E142">
        <v>34</v>
      </c>
      <c r="F142">
        <f t="shared" si="5"/>
        <v>9</v>
      </c>
      <c r="G142">
        <f t="shared" si="6"/>
        <v>0.26470588235294118</v>
      </c>
      <c r="H142" t="s">
        <v>9</v>
      </c>
    </row>
    <row r="143" spans="1:8">
      <c r="A143">
        <v>2022</v>
      </c>
      <c r="B143">
        <v>11</v>
      </c>
      <c r="C143" t="s">
        <v>11</v>
      </c>
      <c r="D143">
        <v>41</v>
      </c>
      <c r="E143">
        <v>37</v>
      </c>
      <c r="F143">
        <f t="shared" si="5"/>
        <v>4</v>
      </c>
      <c r="G143">
        <f t="shared" si="6"/>
        <v>0.10810810810810811</v>
      </c>
      <c r="H143" t="s">
        <v>9</v>
      </c>
    </row>
    <row r="144" spans="1:8">
      <c r="A144">
        <v>2022</v>
      </c>
      <c r="B144">
        <v>11</v>
      </c>
      <c r="C144" t="s">
        <v>12</v>
      </c>
      <c r="D144">
        <v>67</v>
      </c>
      <c r="E144">
        <v>73</v>
      </c>
      <c r="F144">
        <f t="shared" si="5"/>
        <v>-6</v>
      </c>
      <c r="G144">
        <f t="shared" si="6"/>
        <v>-8.2191780821917804E-2</v>
      </c>
      <c r="H144" t="s">
        <v>9</v>
      </c>
    </row>
    <row r="145" spans="1:8">
      <c r="A145">
        <v>2022</v>
      </c>
      <c r="B145">
        <v>11</v>
      </c>
      <c r="C145" t="s">
        <v>13</v>
      </c>
      <c r="D145">
        <v>15</v>
      </c>
      <c r="E145">
        <v>15</v>
      </c>
      <c r="F145">
        <f t="shared" si="5"/>
        <v>0</v>
      </c>
      <c r="G145">
        <f t="shared" si="6"/>
        <v>0</v>
      </c>
      <c r="H145" t="s">
        <v>9</v>
      </c>
    </row>
    <row r="146" spans="1:8">
      <c r="A146">
        <v>2022</v>
      </c>
      <c r="B146">
        <v>11</v>
      </c>
      <c r="C146" t="s">
        <v>14</v>
      </c>
      <c r="D146">
        <v>277</v>
      </c>
      <c r="E146">
        <v>273</v>
      </c>
      <c r="F146">
        <f t="shared" si="5"/>
        <v>4</v>
      </c>
      <c r="G146">
        <f t="shared" si="6"/>
        <v>1.4652014652014652E-2</v>
      </c>
      <c r="H146" t="s">
        <v>9</v>
      </c>
    </row>
    <row r="147" spans="1:8">
      <c r="A147">
        <v>2022</v>
      </c>
      <c r="B147">
        <v>11</v>
      </c>
      <c r="C147" t="s">
        <v>15</v>
      </c>
      <c r="D147">
        <v>166</v>
      </c>
      <c r="E147">
        <v>153</v>
      </c>
      <c r="F147">
        <f t="shared" si="5"/>
        <v>13</v>
      </c>
      <c r="G147">
        <f t="shared" si="6"/>
        <v>8.4967320261437912E-2</v>
      </c>
      <c r="H147" t="s">
        <v>9</v>
      </c>
    </row>
    <row r="148" spans="1:8">
      <c r="A148">
        <v>2022</v>
      </c>
      <c r="B148">
        <v>11</v>
      </c>
      <c r="C148" t="s">
        <v>16</v>
      </c>
      <c r="D148">
        <v>32</v>
      </c>
      <c r="E148">
        <v>37</v>
      </c>
      <c r="F148">
        <f t="shared" si="5"/>
        <v>-5</v>
      </c>
      <c r="G148">
        <f t="shared" si="6"/>
        <v>-0.13513513513513514</v>
      </c>
      <c r="H148" t="s">
        <v>9</v>
      </c>
    </row>
    <row r="149" spans="1:8">
      <c r="A149">
        <v>2022</v>
      </c>
      <c r="B149">
        <v>11</v>
      </c>
      <c r="C149" t="s">
        <v>17</v>
      </c>
      <c r="D149">
        <v>38</v>
      </c>
      <c r="E149">
        <v>28</v>
      </c>
      <c r="F149">
        <f t="shared" ref="F149:F180" si="7">D149-E149</f>
        <v>10</v>
      </c>
      <c r="G149">
        <f t="shared" ref="G149:G180" si="8">F149/E149</f>
        <v>0.35714285714285715</v>
      </c>
      <c r="H149" t="s">
        <v>9</v>
      </c>
    </row>
    <row r="150" spans="1:8">
      <c r="A150">
        <v>2022</v>
      </c>
      <c r="B150">
        <v>11</v>
      </c>
      <c r="C150" t="s">
        <v>18</v>
      </c>
      <c r="D150">
        <v>64</v>
      </c>
      <c r="E150">
        <v>50</v>
      </c>
      <c r="F150">
        <f t="shared" si="7"/>
        <v>14</v>
      </c>
      <c r="G150">
        <f t="shared" si="8"/>
        <v>0.28000000000000003</v>
      </c>
      <c r="H150" t="s">
        <v>9</v>
      </c>
    </row>
    <row r="151" spans="1:8">
      <c r="A151">
        <v>2022</v>
      </c>
      <c r="B151">
        <v>11</v>
      </c>
      <c r="C151" t="s">
        <v>19</v>
      </c>
      <c r="D151">
        <v>76</v>
      </c>
      <c r="E151">
        <v>59</v>
      </c>
      <c r="F151">
        <f t="shared" si="7"/>
        <v>17</v>
      </c>
      <c r="G151">
        <f t="shared" si="8"/>
        <v>0.28813559322033899</v>
      </c>
      <c r="H151" t="s">
        <v>9</v>
      </c>
    </row>
    <row r="152" spans="1:8">
      <c r="A152">
        <v>2022</v>
      </c>
      <c r="B152">
        <v>11</v>
      </c>
      <c r="C152" t="s">
        <v>20</v>
      </c>
      <c r="D152">
        <v>28</v>
      </c>
      <c r="E152">
        <v>26</v>
      </c>
      <c r="F152">
        <f t="shared" si="7"/>
        <v>2</v>
      </c>
      <c r="G152">
        <f t="shared" si="8"/>
        <v>7.6923076923076927E-2</v>
      </c>
      <c r="H152" t="s">
        <v>9</v>
      </c>
    </row>
    <row r="153" spans="1:8">
      <c r="A153">
        <v>2022</v>
      </c>
      <c r="B153">
        <v>11</v>
      </c>
      <c r="C153" t="s">
        <v>21</v>
      </c>
      <c r="D153">
        <v>115</v>
      </c>
      <c r="E153">
        <v>116</v>
      </c>
      <c r="F153">
        <f t="shared" si="7"/>
        <v>-1</v>
      </c>
      <c r="G153">
        <f t="shared" si="8"/>
        <v>-8.6206896551724137E-3</v>
      </c>
      <c r="H153" t="s">
        <v>9</v>
      </c>
    </row>
    <row r="154" spans="1:8">
      <c r="A154">
        <v>2022</v>
      </c>
      <c r="B154">
        <v>11</v>
      </c>
      <c r="C154" t="s">
        <v>22</v>
      </c>
      <c r="D154">
        <v>21</v>
      </c>
      <c r="E154">
        <v>26</v>
      </c>
      <c r="F154">
        <f t="shared" si="7"/>
        <v>-5</v>
      </c>
      <c r="G154">
        <f t="shared" si="8"/>
        <v>-0.19230769230769232</v>
      </c>
      <c r="H154" t="s">
        <v>9</v>
      </c>
    </row>
    <row r="155" spans="1:8">
      <c r="A155">
        <v>2022</v>
      </c>
      <c r="B155">
        <v>11</v>
      </c>
      <c r="C155" t="s">
        <v>23</v>
      </c>
      <c r="D155">
        <v>31</v>
      </c>
      <c r="E155">
        <v>26</v>
      </c>
      <c r="F155">
        <f t="shared" si="7"/>
        <v>5</v>
      </c>
      <c r="G155">
        <f t="shared" si="8"/>
        <v>0.19230769230769232</v>
      </c>
      <c r="H155" t="s">
        <v>9</v>
      </c>
    </row>
    <row r="156" spans="1:8">
      <c r="A156">
        <v>2022</v>
      </c>
      <c r="B156">
        <v>11</v>
      </c>
      <c r="C156" t="s">
        <v>24</v>
      </c>
      <c r="D156">
        <v>61</v>
      </c>
      <c r="E156">
        <v>57</v>
      </c>
      <c r="F156">
        <f t="shared" si="7"/>
        <v>4</v>
      </c>
      <c r="G156">
        <f t="shared" si="8"/>
        <v>7.0175438596491224E-2</v>
      </c>
      <c r="H156" t="s">
        <v>9</v>
      </c>
    </row>
    <row r="157" spans="1:8">
      <c r="A157">
        <v>2022</v>
      </c>
      <c r="B157">
        <v>11</v>
      </c>
      <c r="C157" t="s">
        <v>25</v>
      </c>
      <c r="D157">
        <v>76</v>
      </c>
      <c r="E157">
        <v>79</v>
      </c>
      <c r="F157">
        <f t="shared" si="7"/>
        <v>-3</v>
      </c>
      <c r="G157">
        <f t="shared" si="8"/>
        <v>-3.7974683544303799E-2</v>
      </c>
      <c r="H157" t="s">
        <v>9</v>
      </c>
    </row>
    <row r="158" spans="1:8">
      <c r="A158">
        <v>2022</v>
      </c>
      <c r="B158">
        <v>11</v>
      </c>
      <c r="C158" t="s">
        <v>26</v>
      </c>
      <c r="D158">
        <v>67</v>
      </c>
      <c r="E158">
        <v>46</v>
      </c>
      <c r="F158">
        <f t="shared" si="7"/>
        <v>21</v>
      </c>
      <c r="G158">
        <f t="shared" si="8"/>
        <v>0.45652173913043476</v>
      </c>
      <c r="H158" t="s">
        <v>9</v>
      </c>
    </row>
    <row r="159" spans="1:8">
      <c r="A159">
        <v>2022</v>
      </c>
      <c r="B159">
        <v>11</v>
      </c>
      <c r="C159" t="s">
        <v>27</v>
      </c>
      <c r="D159">
        <v>109</v>
      </c>
      <c r="E159">
        <v>112</v>
      </c>
      <c r="F159">
        <f t="shared" si="7"/>
        <v>-3</v>
      </c>
      <c r="G159">
        <f t="shared" si="8"/>
        <v>-2.6785714285714284E-2</v>
      </c>
      <c r="H159" t="s">
        <v>9</v>
      </c>
    </row>
    <row r="160" spans="1:8">
      <c r="A160">
        <v>2022</v>
      </c>
      <c r="B160">
        <v>11</v>
      </c>
      <c r="C160" t="s">
        <v>28</v>
      </c>
      <c r="D160">
        <v>36</v>
      </c>
      <c r="E160">
        <v>36</v>
      </c>
      <c r="F160">
        <f t="shared" si="7"/>
        <v>0</v>
      </c>
      <c r="G160">
        <f t="shared" si="8"/>
        <v>0</v>
      </c>
      <c r="H160" t="s">
        <v>9</v>
      </c>
    </row>
    <row r="161" spans="1:8">
      <c r="A161">
        <v>2022</v>
      </c>
      <c r="B161">
        <v>11</v>
      </c>
      <c r="C161" t="s">
        <v>29</v>
      </c>
      <c r="D161">
        <v>44</v>
      </c>
      <c r="E161">
        <v>43</v>
      </c>
      <c r="F161">
        <f t="shared" si="7"/>
        <v>1</v>
      </c>
      <c r="G161">
        <f t="shared" si="8"/>
        <v>2.3255813953488372E-2</v>
      </c>
      <c r="H161" t="s">
        <v>9</v>
      </c>
    </row>
    <row r="162" spans="1:8">
      <c r="A162">
        <v>2022</v>
      </c>
      <c r="B162">
        <v>11</v>
      </c>
      <c r="C162" t="s">
        <v>30</v>
      </c>
      <c r="D162">
        <v>80</v>
      </c>
      <c r="E162">
        <v>93</v>
      </c>
      <c r="F162">
        <f t="shared" si="7"/>
        <v>-13</v>
      </c>
      <c r="G162">
        <f t="shared" si="8"/>
        <v>-0.13978494623655913</v>
      </c>
      <c r="H162" t="s">
        <v>9</v>
      </c>
    </row>
    <row r="163" spans="1:8">
      <c r="A163">
        <v>2022</v>
      </c>
      <c r="B163">
        <v>11</v>
      </c>
      <c r="C163" t="s">
        <v>31</v>
      </c>
      <c r="D163">
        <v>46</v>
      </c>
      <c r="E163">
        <v>54</v>
      </c>
      <c r="F163">
        <f t="shared" si="7"/>
        <v>-8</v>
      </c>
      <c r="G163">
        <f t="shared" si="8"/>
        <v>-0.14814814814814814</v>
      </c>
      <c r="H163" t="s">
        <v>9</v>
      </c>
    </row>
    <row r="164" spans="1:8">
      <c r="A164">
        <v>2022</v>
      </c>
      <c r="B164">
        <v>11</v>
      </c>
      <c r="C164" t="s">
        <v>32</v>
      </c>
      <c r="D164">
        <v>55</v>
      </c>
      <c r="E164">
        <v>39</v>
      </c>
      <c r="F164">
        <f t="shared" si="7"/>
        <v>16</v>
      </c>
      <c r="G164">
        <f t="shared" si="8"/>
        <v>0.41025641025641024</v>
      </c>
      <c r="H164" t="s">
        <v>9</v>
      </c>
    </row>
    <row r="165" spans="1:8">
      <c r="A165">
        <v>2022</v>
      </c>
      <c r="B165">
        <v>11</v>
      </c>
      <c r="C165" t="s">
        <v>33</v>
      </c>
      <c r="D165">
        <v>30</v>
      </c>
      <c r="E165">
        <v>31</v>
      </c>
      <c r="F165">
        <f t="shared" si="7"/>
        <v>-1</v>
      </c>
      <c r="G165">
        <f t="shared" si="8"/>
        <v>-3.2258064516129031E-2</v>
      </c>
      <c r="H165" t="s">
        <v>9</v>
      </c>
    </row>
    <row r="166" spans="1:8">
      <c r="A166">
        <v>2022</v>
      </c>
      <c r="B166">
        <v>11</v>
      </c>
      <c r="C166" t="s">
        <v>35</v>
      </c>
      <c r="D166">
        <v>30</v>
      </c>
      <c r="E166">
        <v>0</v>
      </c>
      <c r="F166">
        <f t="shared" si="7"/>
        <v>30</v>
      </c>
      <c r="G166" t="e">
        <f t="shared" si="8"/>
        <v>#DIV/0!</v>
      </c>
      <c r="H166" t="s">
        <v>9</v>
      </c>
    </row>
    <row r="167" spans="1:8">
      <c r="A167">
        <v>2022</v>
      </c>
      <c r="B167">
        <v>11</v>
      </c>
      <c r="C167" t="s">
        <v>15</v>
      </c>
      <c r="D167">
        <v>65</v>
      </c>
      <c r="E167">
        <v>56</v>
      </c>
      <c r="F167">
        <f t="shared" si="7"/>
        <v>9</v>
      </c>
      <c r="G167">
        <f t="shared" si="8"/>
        <v>0.16071428571428573</v>
      </c>
      <c r="H167" t="s">
        <v>34</v>
      </c>
    </row>
    <row r="168" spans="1:8">
      <c r="A168">
        <v>2022</v>
      </c>
      <c r="B168">
        <v>11</v>
      </c>
      <c r="C168" t="s">
        <v>22</v>
      </c>
      <c r="D168">
        <v>13</v>
      </c>
      <c r="E168">
        <v>15</v>
      </c>
      <c r="F168">
        <f t="shared" si="7"/>
        <v>-2</v>
      </c>
      <c r="G168">
        <f t="shared" si="8"/>
        <v>-0.13333333333333333</v>
      </c>
      <c r="H168" t="s">
        <v>34</v>
      </c>
    </row>
    <row r="169" spans="1:8">
      <c r="A169">
        <v>2022</v>
      </c>
      <c r="B169">
        <v>12</v>
      </c>
      <c r="C169" t="s">
        <v>8</v>
      </c>
      <c r="D169">
        <v>11</v>
      </c>
      <c r="E169">
        <v>10</v>
      </c>
      <c r="F169">
        <f t="shared" si="7"/>
        <v>1</v>
      </c>
      <c r="G169">
        <f t="shared" si="8"/>
        <v>0.1</v>
      </c>
      <c r="H169" t="s">
        <v>9</v>
      </c>
    </row>
    <row r="170" spans="1:8">
      <c r="A170">
        <v>2022</v>
      </c>
      <c r="B170">
        <v>12</v>
      </c>
      <c r="C170" t="s">
        <v>10</v>
      </c>
      <c r="D170">
        <v>45</v>
      </c>
      <c r="E170">
        <v>36</v>
      </c>
      <c r="F170">
        <f t="shared" si="7"/>
        <v>9</v>
      </c>
      <c r="G170">
        <f t="shared" si="8"/>
        <v>0.25</v>
      </c>
      <c r="H170" t="s">
        <v>9</v>
      </c>
    </row>
    <row r="171" spans="1:8">
      <c r="A171">
        <v>2022</v>
      </c>
      <c r="B171">
        <v>12</v>
      </c>
      <c r="C171" t="s">
        <v>11</v>
      </c>
      <c r="D171">
        <v>44</v>
      </c>
      <c r="E171">
        <v>41</v>
      </c>
      <c r="F171">
        <f t="shared" si="7"/>
        <v>3</v>
      </c>
      <c r="G171">
        <f t="shared" si="8"/>
        <v>7.3170731707317069E-2</v>
      </c>
      <c r="H171" t="s">
        <v>9</v>
      </c>
    </row>
    <row r="172" spans="1:8">
      <c r="A172">
        <v>2022</v>
      </c>
      <c r="B172">
        <v>12</v>
      </c>
      <c r="C172" t="s">
        <v>12</v>
      </c>
      <c r="D172">
        <v>65</v>
      </c>
      <c r="E172">
        <v>70</v>
      </c>
      <c r="F172">
        <f t="shared" si="7"/>
        <v>-5</v>
      </c>
      <c r="G172">
        <f t="shared" si="8"/>
        <v>-7.1428571428571425E-2</v>
      </c>
      <c r="H172" t="s">
        <v>9</v>
      </c>
    </row>
    <row r="173" spans="1:8">
      <c r="A173">
        <v>2022</v>
      </c>
      <c r="B173">
        <v>12</v>
      </c>
      <c r="C173" t="s">
        <v>13</v>
      </c>
      <c r="D173">
        <v>16</v>
      </c>
      <c r="E173">
        <v>15</v>
      </c>
      <c r="F173">
        <f t="shared" si="7"/>
        <v>1</v>
      </c>
      <c r="G173">
        <f t="shared" si="8"/>
        <v>6.6666666666666666E-2</v>
      </c>
      <c r="H173" t="s">
        <v>9</v>
      </c>
    </row>
    <row r="174" spans="1:8">
      <c r="A174">
        <v>2022</v>
      </c>
      <c r="B174">
        <v>12</v>
      </c>
      <c r="C174" t="s">
        <v>14</v>
      </c>
      <c r="D174">
        <v>272</v>
      </c>
      <c r="E174">
        <v>271</v>
      </c>
      <c r="F174">
        <f t="shared" si="7"/>
        <v>1</v>
      </c>
      <c r="G174">
        <f t="shared" si="8"/>
        <v>3.6900369003690036E-3</v>
      </c>
      <c r="H174" t="s">
        <v>9</v>
      </c>
    </row>
    <row r="175" spans="1:8">
      <c r="A175">
        <v>2022</v>
      </c>
      <c r="B175">
        <v>12</v>
      </c>
      <c r="C175" t="s">
        <v>15</v>
      </c>
      <c r="D175">
        <v>162</v>
      </c>
      <c r="E175">
        <v>158</v>
      </c>
      <c r="F175">
        <f t="shared" si="7"/>
        <v>4</v>
      </c>
      <c r="G175">
        <f t="shared" si="8"/>
        <v>2.5316455696202531E-2</v>
      </c>
      <c r="H175" t="s">
        <v>9</v>
      </c>
    </row>
    <row r="176" spans="1:8">
      <c r="A176">
        <v>2022</v>
      </c>
      <c r="B176">
        <v>12</v>
      </c>
      <c r="C176" t="s">
        <v>16</v>
      </c>
      <c r="D176">
        <v>37</v>
      </c>
      <c r="E176">
        <v>30</v>
      </c>
      <c r="F176">
        <f t="shared" si="7"/>
        <v>7</v>
      </c>
      <c r="G176">
        <f t="shared" si="8"/>
        <v>0.23333333333333334</v>
      </c>
      <c r="H176" t="s">
        <v>9</v>
      </c>
    </row>
    <row r="177" spans="1:8">
      <c r="A177">
        <v>2022</v>
      </c>
      <c r="B177">
        <v>12</v>
      </c>
      <c r="C177" t="s">
        <v>17</v>
      </c>
      <c r="D177">
        <v>40</v>
      </c>
      <c r="E177">
        <v>37</v>
      </c>
      <c r="F177">
        <f t="shared" si="7"/>
        <v>3</v>
      </c>
      <c r="G177">
        <f t="shared" si="8"/>
        <v>8.1081081081081086E-2</v>
      </c>
      <c r="H177" t="s">
        <v>9</v>
      </c>
    </row>
    <row r="178" spans="1:8">
      <c r="A178">
        <v>2022</v>
      </c>
      <c r="B178">
        <v>12</v>
      </c>
      <c r="C178" t="s">
        <v>18</v>
      </c>
      <c r="D178">
        <v>63</v>
      </c>
      <c r="E178">
        <v>57</v>
      </c>
      <c r="F178">
        <f t="shared" si="7"/>
        <v>6</v>
      </c>
      <c r="G178">
        <f t="shared" si="8"/>
        <v>0.10526315789473684</v>
      </c>
      <c r="H178" t="s">
        <v>9</v>
      </c>
    </row>
    <row r="179" spans="1:8">
      <c r="A179">
        <v>2022</v>
      </c>
      <c r="B179">
        <v>12</v>
      </c>
      <c r="C179" t="s">
        <v>19</v>
      </c>
      <c r="D179">
        <v>81</v>
      </c>
      <c r="E179">
        <v>70</v>
      </c>
      <c r="F179">
        <f t="shared" si="7"/>
        <v>11</v>
      </c>
      <c r="G179">
        <f t="shared" si="8"/>
        <v>0.15714285714285714</v>
      </c>
      <c r="H179" t="s">
        <v>9</v>
      </c>
    </row>
    <row r="180" spans="1:8">
      <c r="A180">
        <v>2022</v>
      </c>
      <c r="B180">
        <v>12</v>
      </c>
      <c r="C180" t="s">
        <v>20</v>
      </c>
      <c r="D180">
        <v>29</v>
      </c>
      <c r="E180">
        <v>29</v>
      </c>
      <c r="F180">
        <f t="shared" si="7"/>
        <v>0</v>
      </c>
      <c r="G180">
        <f t="shared" si="8"/>
        <v>0</v>
      </c>
      <c r="H180" t="s">
        <v>9</v>
      </c>
    </row>
    <row r="181" spans="1:8">
      <c r="A181">
        <v>2022</v>
      </c>
      <c r="B181">
        <v>12</v>
      </c>
      <c r="C181" t="s">
        <v>21</v>
      </c>
      <c r="D181">
        <v>116</v>
      </c>
      <c r="E181">
        <v>121</v>
      </c>
      <c r="F181">
        <f t="shared" ref="F181:F212" si="9">D181-E181</f>
        <v>-5</v>
      </c>
      <c r="G181">
        <f t="shared" ref="G181:G212" si="10">F181/E181</f>
        <v>-4.1322314049586778E-2</v>
      </c>
      <c r="H181" t="s">
        <v>9</v>
      </c>
    </row>
    <row r="182" spans="1:8">
      <c r="A182">
        <v>2022</v>
      </c>
      <c r="B182">
        <v>12</v>
      </c>
      <c r="C182" t="s">
        <v>22</v>
      </c>
      <c r="D182">
        <v>21</v>
      </c>
      <c r="E182">
        <v>25</v>
      </c>
      <c r="F182">
        <f t="shared" si="9"/>
        <v>-4</v>
      </c>
      <c r="G182">
        <f t="shared" si="10"/>
        <v>-0.16</v>
      </c>
      <c r="H182" t="s">
        <v>9</v>
      </c>
    </row>
    <row r="183" spans="1:8">
      <c r="A183">
        <v>2022</v>
      </c>
      <c r="B183">
        <v>12</v>
      </c>
      <c r="C183" t="s">
        <v>23</v>
      </c>
      <c r="D183">
        <v>33</v>
      </c>
      <c r="E183">
        <v>27</v>
      </c>
      <c r="F183">
        <f t="shared" si="9"/>
        <v>6</v>
      </c>
      <c r="G183">
        <f t="shared" si="10"/>
        <v>0.22222222222222221</v>
      </c>
      <c r="H183" t="s">
        <v>9</v>
      </c>
    </row>
    <row r="184" spans="1:8">
      <c r="A184">
        <v>2022</v>
      </c>
      <c r="B184">
        <v>12</v>
      </c>
      <c r="C184" t="s">
        <v>24</v>
      </c>
      <c r="D184">
        <v>64</v>
      </c>
      <c r="E184">
        <v>58</v>
      </c>
      <c r="F184">
        <f t="shared" si="9"/>
        <v>6</v>
      </c>
      <c r="G184">
        <f t="shared" si="10"/>
        <v>0.10344827586206896</v>
      </c>
      <c r="H184" t="s">
        <v>9</v>
      </c>
    </row>
    <row r="185" spans="1:8">
      <c r="A185">
        <v>2022</v>
      </c>
      <c r="B185">
        <v>12</v>
      </c>
      <c r="C185" t="s">
        <v>25</v>
      </c>
      <c r="D185">
        <v>76</v>
      </c>
      <c r="E185">
        <v>82</v>
      </c>
      <c r="F185">
        <f t="shared" si="9"/>
        <v>-6</v>
      </c>
      <c r="G185">
        <f t="shared" si="10"/>
        <v>-7.3170731707317069E-2</v>
      </c>
      <c r="H185" t="s">
        <v>9</v>
      </c>
    </row>
    <row r="186" spans="1:8">
      <c r="A186">
        <v>2022</v>
      </c>
      <c r="B186">
        <v>12</v>
      </c>
      <c r="C186" t="s">
        <v>26</v>
      </c>
      <c r="D186">
        <v>60</v>
      </c>
      <c r="E186">
        <v>56</v>
      </c>
      <c r="F186">
        <f t="shared" si="9"/>
        <v>4</v>
      </c>
      <c r="G186">
        <f t="shared" si="10"/>
        <v>7.1428571428571425E-2</v>
      </c>
      <c r="H186" t="s">
        <v>9</v>
      </c>
    </row>
    <row r="187" spans="1:8">
      <c r="A187">
        <v>2022</v>
      </c>
      <c r="B187">
        <v>12</v>
      </c>
      <c r="C187" t="s">
        <v>27</v>
      </c>
      <c r="D187">
        <v>112</v>
      </c>
      <c r="E187">
        <v>105</v>
      </c>
      <c r="F187">
        <f t="shared" si="9"/>
        <v>7</v>
      </c>
      <c r="G187">
        <f t="shared" si="10"/>
        <v>6.6666666666666666E-2</v>
      </c>
      <c r="H187" t="s">
        <v>9</v>
      </c>
    </row>
    <row r="188" spans="1:8">
      <c r="A188">
        <v>2022</v>
      </c>
      <c r="B188">
        <v>12</v>
      </c>
      <c r="C188" t="s">
        <v>28</v>
      </c>
      <c r="D188">
        <v>38</v>
      </c>
      <c r="E188">
        <v>36</v>
      </c>
      <c r="F188">
        <f t="shared" si="9"/>
        <v>2</v>
      </c>
      <c r="G188">
        <f t="shared" si="10"/>
        <v>5.5555555555555552E-2</v>
      </c>
      <c r="H188" t="s">
        <v>9</v>
      </c>
    </row>
    <row r="189" spans="1:8">
      <c r="A189">
        <v>2022</v>
      </c>
      <c r="B189">
        <v>12</v>
      </c>
      <c r="C189" t="s">
        <v>29</v>
      </c>
      <c r="D189">
        <v>46</v>
      </c>
      <c r="E189">
        <v>43</v>
      </c>
      <c r="F189">
        <f t="shared" si="9"/>
        <v>3</v>
      </c>
      <c r="G189">
        <f t="shared" si="10"/>
        <v>6.9767441860465115E-2</v>
      </c>
      <c r="H189" t="s">
        <v>9</v>
      </c>
    </row>
    <row r="190" spans="1:8">
      <c r="A190">
        <v>2022</v>
      </c>
      <c r="B190">
        <v>12</v>
      </c>
      <c r="C190" t="s">
        <v>30</v>
      </c>
      <c r="D190">
        <v>80</v>
      </c>
      <c r="E190">
        <v>96</v>
      </c>
      <c r="F190">
        <f t="shared" si="9"/>
        <v>-16</v>
      </c>
      <c r="G190">
        <f t="shared" si="10"/>
        <v>-0.16666666666666666</v>
      </c>
      <c r="H190" t="s">
        <v>9</v>
      </c>
    </row>
    <row r="191" spans="1:8">
      <c r="A191">
        <v>2022</v>
      </c>
      <c r="B191">
        <v>12</v>
      </c>
      <c r="C191" t="s">
        <v>31</v>
      </c>
      <c r="D191">
        <v>47</v>
      </c>
      <c r="E191">
        <v>45</v>
      </c>
      <c r="F191">
        <f t="shared" si="9"/>
        <v>2</v>
      </c>
      <c r="G191">
        <f t="shared" si="10"/>
        <v>4.4444444444444446E-2</v>
      </c>
      <c r="H191" t="s">
        <v>9</v>
      </c>
    </row>
    <row r="192" spans="1:8">
      <c r="A192">
        <v>2022</v>
      </c>
      <c r="B192">
        <v>12</v>
      </c>
      <c r="C192" t="s">
        <v>32</v>
      </c>
      <c r="D192">
        <v>55</v>
      </c>
      <c r="E192">
        <v>38</v>
      </c>
      <c r="F192">
        <f t="shared" si="9"/>
        <v>17</v>
      </c>
      <c r="G192">
        <f t="shared" si="10"/>
        <v>0.44736842105263158</v>
      </c>
      <c r="H192" t="s">
        <v>9</v>
      </c>
    </row>
    <row r="193" spans="1:8">
      <c r="A193">
        <v>2022</v>
      </c>
      <c r="B193">
        <v>12</v>
      </c>
      <c r="C193" t="s">
        <v>33</v>
      </c>
      <c r="D193">
        <v>32</v>
      </c>
      <c r="E193">
        <v>30</v>
      </c>
      <c r="F193">
        <f t="shared" si="9"/>
        <v>2</v>
      </c>
      <c r="G193">
        <f t="shared" si="10"/>
        <v>6.6666666666666666E-2</v>
      </c>
      <c r="H193" t="s">
        <v>9</v>
      </c>
    </row>
    <row r="194" spans="1:8">
      <c r="A194">
        <v>2022</v>
      </c>
      <c r="B194">
        <v>12</v>
      </c>
      <c r="C194" t="s">
        <v>35</v>
      </c>
      <c r="D194">
        <v>31</v>
      </c>
      <c r="E194">
        <v>0</v>
      </c>
      <c r="F194">
        <f t="shared" si="9"/>
        <v>31</v>
      </c>
      <c r="G194" t="e">
        <f t="shared" si="10"/>
        <v>#DIV/0!</v>
      </c>
      <c r="H194" t="s">
        <v>9</v>
      </c>
    </row>
    <row r="195" spans="1:8">
      <c r="A195">
        <v>2022</v>
      </c>
      <c r="B195">
        <v>12</v>
      </c>
      <c r="C195" t="s">
        <v>22</v>
      </c>
      <c r="D195">
        <v>13</v>
      </c>
      <c r="E195">
        <v>14</v>
      </c>
      <c r="F195">
        <f t="shared" si="9"/>
        <v>-1</v>
      </c>
      <c r="G195">
        <f t="shared" si="10"/>
        <v>-7.1428571428571425E-2</v>
      </c>
      <c r="H195" t="s">
        <v>34</v>
      </c>
    </row>
    <row r="196" spans="1:8">
      <c r="A196">
        <v>2022</v>
      </c>
      <c r="B196">
        <v>12</v>
      </c>
      <c r="C196" t="s">
        <v>15</v>
      </c>
      <c r="D196">
        <v>65</v>
      </c>
      <c r="E196">
        <v>62</v>
      </c>
      <c r="F196">
        <f t="shared" si="9"/>
        <v>3</v>
      </c>
      <c r="G196">
        <f t="shared" si="10"/>
        <v>4.8387096774193547E-2</v>
      </c>
      <c r="H196" t="s">
        <v>34</v>
      </c>
    </row>
    <row r="197" spans="1:8">
      <c r="A197">
        <v>2023</v>
      </c>
      <c r="B197">
        <v>1</v>
      </c>
      <c r="C197" t="s">
        <v>8</v>
      </c>
      <c r="D197">
        <v>11</v>
      </c>
      <c r="E197">
        <v>10</v>
      </c>
      <c r="F197">
        <f t="shared" si="9"/>
        <v>1</v>
      </c>
      <c r="G197">
        <f t="shared" si="10"/>
        <v>0.1</v>
      </c>
      <c r="H197" t="s">
        <v>9</v>
      </c>
    </row>
    <row r="198" spans="1:8">
      <c r="A198">
        <v>2023</v>
      </c>
      <c r="B198">
        <v>1</v>
      </c>
      <c r="C198" t="s">
        <v>10</v>
      </c>
      <c r="D198">
        <v>45</v>
      </c>
      <c r="E198">
        <v>36</v>
      </c>
      <c r="F198">
        <f t="shared" si="9"/>
        <v>9</v>
      </c>
      <c r="G198">
        <f t="shared" si="10"/>
        <v>0.25</v>
      </c>
      <c r="H198" t="s">
        <v>9</v>
      </c>
    </row>
    <row r="199" spans="1:8">
      <c r="A199">
        <v>2023</v>
      </c>
      <c r="B199">
        <v>1</v>
      </c>
      <c r="C199" t="s">
        <v>11</v>
      </c>
      <c r="D199">
        <v>44</v>
      </c>
      <c r="E199">
        <v>41</v>
      </c>
      <c r="F199">
        <f t="shared" si="9"/>
        <v>3</v>
      </c>
      <c r="G199">
        <f t="shared" si="10"/>
        <v>7.3170731707317069E-2</v>
      </c>
      <c r="H199" t="s">
        <v>9</v>
      </c>
    </row>
    <row r="200" spans="1:8">
      <c r="A200">
        <v>2023</v>
      </c>
      <c r="B200">
        <v>1</v>
      </c>
      <c r="C200" t="s">
        <v>12</v>
      </c>
      <c r="D200">
        <v>65</v>
      </c>
      <c r="E200">
        <v>70</v>
      </c>
      <c r="F200">
        <f t="shared" si="9"/>
        <v>-5</v>
      </c>
      <c r="G200">
        <f t="shared" si="10"/>
        <v>-7.1428571428571425E-2</v>
      </c>
      <c r="H200" t="s">
        <v>9</v>
      </c>
    </row>
    <row r="201" spans="1:8">
      <c r="A201">
        <v>2023</v>
      </c>
      <c r="B201">
        <v>1</v>
      </c>
      <c r="C201" t="s">
        <v>13</v>
      </c>
      <c r="D201">
        <v>16</v>
      </c>
      <c r="E201">
        <v>15</v>
      </c>
      <c r="F201">
        <f t="shared" si="9"/>
        <v>1</v>
      </c>
      <c r="G201">
        <f t="shared" si="10"/>
        <v>6.6666666666666666E-2</v>
      </c>
      <c r="H201" t="s">
        <v>9</v>
      </c>
    </row>
    <row r="202" spans="1:8">
      <c r="A202">
        <v>2023</v>
      </c>
      <c r="B202">
        <v>1</v>
      </c>
      <c r="C202" t="s">
        <v>14</v>
      </c>
      <c r="D202">
        <v>272</v>
      </c>
      <c r="E202">
        <v>271</v>
      </c>
      <c r="F202">
        <f t="shared" si="9"/>
        <v>1</v>
      </c>
      <c r="G202">
        <f t="shared" si="10"/>
        <v>3.6900369003690036E-3</v>
      </c>
      <c r="H202" t="s">
        <v>9</v>
      </c>
    </row>
    <row r="203" spans="1:8">
      <c r="A203">
        <v>2023</v>
      </c>
      <c r="B203">
        <v>1</v>
      </c>
      <c r="C203" t="s">
        <v>15</v>
      </c>
      <c r="D203">
        <v>162</v>
      </c>
      <c r="E203">
        <v>158</v>
      </c>
      <c r="F203">
        <f t="shared" si="9"/>
        <v>4</v>
      </c>
      <c r="G203">
        <f t="shared" si="10"/>
        <v>2.5316455696202531E-2</v>
      </c>
      <c r="H203" t="s">
        <v>9</v>
      </c>
    </row>
    <row r="204" spans="1:8">
      <c r="A204">
        <v>2023</v>
      </c>
      <c r="B204">
        <v>1</v>
      </c>
      <c r="C204" t="s">
        <v>16</v>
      </c>
      <c r="D204">
        <v>37</v>
      </c>
      <c r="E204">
        <v>30</v>
      </c>
      <c r="F204">
        <f t="shared" si="9"/>
        <v>7</v>
      </c>
      <c r="G204">
        <f t="shared" si="10"/>
        <v>0.23333333333333334</v>
      </c>
      <c r="H204" t="s">
        <v>9</v>
      </c>
    </row>
    <row r="205" spans="1:8">
      <c r="A205">
        <v>2023</v>
      </c>
      <c r="B205">
        <v>1</v>
      </c>
      <c r="C205" t="s">
        <v>17</v>
      </c>
      <c r="D205">
        <v>40</v>
      </c>
      <c r="E205">
        <v>37</v>
      </c>
      <c r="F205">
        <f t="shared" si="9"/>
        <v>3</v>
      </c>
      <c r="G205">
        <f t="shared" si="10"/>
        <v>8.1081081081081086E-2</v>
      </c>
      <c r="H205" t="s">
        <v>9</v>
      </c>
    </row>
    <row r="206" spans="1:8">
      <c r="A206">
        <v>2023</v>
      </c>
      <c r="B206">
        <v>1</v>
      </c>
      <c r="C206" t="s">
        <v>18</v>
      </c>
      <c r="D206">
        <v>63</v>
      </c>
      <c r="E206">
        <v>57</v>
      </c>
      <c r="F206">
        <f t="shared" si="9"/>
        <v>6</v>
      </c>
      <c r="G206">
        <f t="shared" si="10"/>
        <v>0.10526315789473684</v>
      </c>
      <c r="H206" t="s">
        <v>9</v>
      </c>
    </row>
    <row r="207" spans="1:8">
      <c r="A207">
        <v>2023</v>
      </c>
      <c r="B207">
        <v>1</v>
      </c>
      <c r="C207" t="s">
        <v>19</v>
      </c>
      <c r="D207">
        <v>81</v>
      </c>
      <c r="E207">
        <v>70</v>
      </c>
      <c r="F207">
        <f t="shared" si="9"/>
        <v>11</v>
      </c>
      <c r="G207">
        <f t="shared" si="10"/>
        <v>0.15714285714285714</v>
      </c>
      <c r="H207" t="s">
        <v>9</v>
      </c>
    </row>
    <row r="208" spans="1:8">
      <c r="A208">
        <v>2023</v>
      </c>
      <c r="B208">
        <v>1</v>
      </c>
      <c r="C208" t="s">
        <v>20</v>
      </c>
      <c r="D208">
        <v>29</v>
      </c>
      <c r="E208">
        <v>29</v>
      </c>
      <c r="F208">
        <f t="shared" si="9"/>
        <v>0</v>
      </c>
      <c r="G208">
        <f t="shared" si="10"/>
        <v>0</v>
      </c>
      <c r="H208" t="s">
        <v>9</v>
      </c>
    </row>
    <row r="209" spans="1:8">
      <c r="A209">
        <v>2023</v>
      </c>
      <c r="B209">
        <v>1</v>
      </c>
      <c r="C209" t="s">
        <v>21</v>
      </c>
      <c r="D209">
        <v>116</v>
      </c>
      <c r="E209">
        <v>121</v>
      </c>
      <c r="F209">
        <f t="shared" si="9"/>
        <v>-5</v>
      </c>
      <c r="G209">
        <f t="shared" si="10"/>
        <v>-4.1322314049586778E-2</v>
      </c>
      <c r="H209" t="s">
        <v>9</v>
      </c>
    </row>
    <row r="210" spans="1:8">
      <c r="A210">
        <v>2023</v>
      </c>
      <c r="B210">
        <v>1</v>
      </c>
      <c r="C210" t="s">
        <v>22</v>
      </c>
      <c r="D210">
        <v>21</v>
      </c>
      <c r="E210">
        <v>25</v>
      </c>
      <c r="F210">
        <f t="shared" si="9"/>
        <v>-4</v>
      </c>
      <c r="G210">
        <f t="shared" si="10"/>
        <v>-0.16</v>
      </c>
      <c r="H210" t="s">
        <v>9</v>
      </c>
    </row>
    <row r="211" spans="1:8">
      <c r="A211">
        <v>2023</v>
      </c>
      <c r="B211">
        <v>1</v>
      </c>
      <c r="C211" t="s">
        <v>23</v>
      </c>
      <c r="D211">
        <v>33</v>
      </c>
      <c r="E211">
        <v>27</v>
      </c>
      <c r="F211">
        <f t="shared" si="9"/>
        <v>6</v>
      </c>
      <c r="G211">
        <f t="shared" si="10"/>
        <v>0.22222222222222221</v>
      </c>
      <c r="H211" t="s">
        <v>9</v>
      </c>
    </row>
    <row r="212" spans="1:8">
      <c r="A212">
        <v>2023</v>
      </c>
      <c r="B212">
        <v>1</v>
      </c>
      <c r="C212" t="s">
        <v>24</v>
      </c>
      <c r="D212">
        <v>64</v>
      </c>
      <c r="E212">
        <v>58</v>
      </c>
      <c r="F212">
        <f t="shared" si="9"/>
        <v>6</v>
      </c>
      <c r="G212">
        <f t="shared" si="10"/>
        <v>0.10344827586206896</v>
      </c>
      <c r="H212" t="s">
        <v>9</v>
      </c>
    </row>
    <row r="213" spans="1:8">
      <c r="A213">
        <v>2023</v>
      </c>
      <c r="B213">
        <v>1</v>
      </c>
      <c r="C213" t="s">
        <v>25</v>
      </c>
      <c r="D213">
        <v>76</v>
      </c>
      <c r="E213">
        <v>82</v>
      </c>
      <c r="F213">
        <f t="shared" ref="F213:F244" si="11">D213-E213</f>
        <v>-6</v>
      </c>
      <c r="G213">
        <f t="shared" ref="G213:G244" si="12">F213/E213</f>
        <v>-7.3170731707317069E-2</v>
      </c>
      <c r="H213" t="s">
        <v>9</v>
      </c>
    </row>
    <row r="214" spans="1:8">
      <c r="A214">
        <v>2023</v>
      </c>
      <c r="B214">
        <v>1</v>
      </c>
      <c r="C214" t="s">
        <v>26</v>
      </c>
      <c r="D214">
        <v>60</v>
      </c>
      <c r="E214">
        <v>56</v>
      </c>
      <c r="F214">
        <f t="shared" si="11"/>
        <v>4</v>
      </c>
      <c r="G214">
        <f t="shared" si="12"/>
        <v>7.1428571428571425E-2</v>
      </c>
      <c r="H214" t="s">
        <v>9</v>
      </c>
    </row>
    <row r="215" spans="1:8">
      <c r="A215">
        <v>2023</v>
      </c>
      <c r="B215">
        <v>1</v>
      </c>
      <c r="C215" t="s">
        <v>27</v>
      </c>
      <c r="D215">
        <v>112</v>
      </c>
      <c r="E215">
        <v>105</v>
      </c>
      <c r="F215">
        <f t="shared" si="11"/>
        <v>7</v>
      </c>
      <c r="G215">
        <f t="shared" si="12"/>
        <v>6.6666666666666666E-2</v>
      </c>
      <c r="H215" t="s">
        <v>9</v>
      </c>
    </row>
    <row r="216" spans="1:8">
      <c r="A216">
        <v>2023</v>
      </c>
      <c r="B216">
        <v>1</v>
      </c>
      <c r="C216" t="s">
        <v>28</v>
      </c>
      <c r="D216">
        <v>38</v>
      </c>
      <c r="E216">
        <v>36</v>
      </c>
      <c r="F216">
        <f t="shared" si="11"/>
        <v>2</v>
      </c>
      <c r="G216">
        <f t="shared" si="12"/>
        <v>5.5555555555555552E-2</v>
      </c>
      <c r="H216" t="s">
        <v>9</v>
      </c>
    </row>
    <row r="217" spans="1:8">
      <c r="A217">
        <v>2023</v>
      </c>
      <c r="B217">
        <v>1</v>
      </c>
      <c r="C217" t="s">
        <v>29</v>
      </c>
      <c r="D217">
        <v>46</v>
      </c>
      <c r="E217">
        <v>43</v>
      </c>
      <c r="F217">
        <f t="shared" si="11"/>
        <v>3</v>
      </c>
      <c r="G217">
        <f t="shared" si="12"/>
        <v>6.9767441860465115E-2</v>
      </c>
      <c r="H217" t="s">
        <v>9</v>
      </c>
    </row>
    <row r="218" spans="1:8">
      <c r="A218">
        <v>2023</v>
      </c>
      <c r="B218">
        <v>1</v>
      </c>
      <c r="C218" t="s">
        <v>30</v>
      </c>
      <c r="D218">
        <v>80</v>
      </c>
      <c r="E218">
        <v>96</v>
      </c>
      <c r="F218">
        <f t="shared" si="11"/>
        <v>-16</v>
      </c>
      <c r="G218">
        <f t="shared" si="12"/>
        <v>-0.16666666666666666</v>
      </c>
      <c r="H218" t="s">
        <v>9</v>
      </c>
    </row>
    <row r="219" spans="1:8">
      <c r="A219">
        <v>2023</v>
      </c>
      <c r="B219">
        <v>1</v>
      </c>
      <c r="C219" t="s">
        <v>31</v>
      </c>
      <c r="D219">
        <v>47</v>
      </c>
      <c r="E219">
        <v>45</v>
      </c>
      <c r="F219">
        <f t="shared" si="11"/>
        <v>2</v>
      </c>
      <c r="G219">
        <f t="shared" si="12"/>
        <v>4.4444444444444446E-2</v>
      </c>
      <c r="H219" t="s">
        <v>9</v>
      </c>
    </row>
    <row r="220" spans="1:8">
      <c r="A220">
        <v>2023</v>
      </c>
      <c r="B220">
        <v>1</v>
      </c>
      <c r="C220" t="s">
        <v>32</v>
      </c>
      <c r="D220">
        <v>55</v>
      </c>
      <c r="E220">
        <v>38</v>
      </c>
      <c r="F220">
        <f t="shared" si="11"/>
        <v>17</v>
      </c>
      <c r="G220">
        <f t="shared" si="12"/>
        <v>0.44736842105263158</v>
      </c>
      <c r="H220" t="s">
        <v>9</v>
      </c>
    </row>
    <row r="221" spans="1:8">
      <c r="A221">
        <v>2023</v>
      </c>
      <c r="B221">
        <v>1</v>
      </c>
      <c r="C221" t="s">
        <v>33</v>
      </c>
      <c r="D221">
        <v>32</v>
      </c>
      <c r="E221">
        <v>30</v>
      </c>
      <c r="F221">
        <f t="shared" si="11"/>
        <v>2</v>
      </c>
      <c r="G221">
        <f t="shared" si="12"/>
        <v>6.6666666666666666E-2</v>
      </c>
      <c r="H221" t="s">
        <v>9</v>
      </c>
    </row>
    <row r="222" spans="1:8">
      <c r="A222">
        <v>2023</v>
      </c>
      <c r="B222">
        <v>1</v>
      </c>
      <c r="C222" t="s">
        <v>35</v>
      </c>
      <c r="D222">
        <v>31</v>
      </c>
      <c r="E222">
        <v>0</v>
      </c>
      <c r="F222">
        <f t="shared" si="11"/>
        <v>31</v>
      </c>
      <c r="G222" t="e">
        <f t="shared" si="12"/>
        <v>#DIV/0!</v>
      </c>
      <c r="H222" t="s">
        <v>9</v>
      </c>
    </row>
    <row r="223" spans="1:8">
      <c r="A223">
        <v>2023</v>
      </c>
      <c r="B223">
        <v>1</v>
      </c>
      <c r="C223" t="s">
        <v>22</v>
      </c>
      <c r="D223">
        <v>13</v>
      </c>
      <c r="E223">
        <v>14</v>
      </c>
      <c r="F223">
        <f t="shared" si="11"/>
        <v>-1</v>
      </c>
      <c r="G223">
        <f t="shared" si="12"/>
        <v>-7.1428571428571425E-2</v>
      </c>
      <c r="H223" t="s">
        <v>34</v>
      </c>
    </row>
    <row r="224" spans="1:8">
      <c r="A224">
        <v>2023</v>
      </c>
      <c r="B224">
        <v>1</v>
      </c>
      <c r="C224" t="s">
        <v>15</v>
      </c>
      <c r="D224">
        <v>65</v>
      </c>
      <c r="E224">
        <v>62</v>
      </c>
      <c r="F224">
        <f t="shared" si="11"/>
        <v>3</v>
      </c>
      <c r="G224">
        <f t="shared" si="12"/>
        <v>4.8387096774193547E-2</v>
      </c>
      <c r="H224" t="s">
        <v>34</v>
      </c>
    </row>
    <row r="225" spans="1:8">
      <c r="A225">
        <v>2023</v>
      </c>
      <c r="B225">
        <v>2</v>
      </c>
      <c r="C225" t="s">
        <v>8</v>
      </c>
      <c r="D225">
        <v>11</v>
      </c>
      <c r="E225">
        <v>10</v>
      </c>
      <c r="F225">
        <f t="shared" si="11"/>
        <v>1</v>
      </c>
      <c r="G225">
        <f t="shared" si="12"/>
        <v>0.1</v>
      </c>
      <c r="H225" t="s">
        <v>9</v>
      </c>
    </row>
    <row r="226" spans="1:8">
      <c r="A226">
        <v>2023</v>
      </c>
      <c r="B226">
        <v>2</v>
      </c>
      <c r="C226" t="s">
        <v>10</v>
      </c>
      <c r="D226">
        <v>45</v>
      </c>
      <c r="E226">
        <v>36</v>
      </c>
      <c r="F226">
        <f t="shared" si="11"/>
        <v>9</v>
      </c>
      <c r="G226">
        <f t="shared" si="12"/>
        <v>0.25</v>
      </c>
      <c r="H226" t="s">
        <v>9</v>
      </c>
    </row>
    <row r="227" spans="1:8">
      <c r="A227">
        <v>2023</v>
      </c>
      <c r="B227">
        <v>2</v>
      </c>
      <c r="C227" t="s">
        <v>11</v>
      </c>
      <c r="D227">
        <v>44</v>
      </c>
      <c r="E227">
        <v>41</v>
      </c>
      <c r="F227">
        <f t="shared" si="11"/>
        <v>3</v>
      </c>
      <c r="G227">
        <f t="shared" si="12"/>
        <v>7.3170731707317069E-2</v>
      </c>
      <c r="H227" t="s">
        <v>9</v>
      </c>
    </row>
    <row r="228" spans="1:8">
      <c r="A228">
        <v>2023</v>
      </c>
      <c r="B228">
        <v>2</v>
      </c>
      <c r="C228" t="s">
        <v>12</v>
      </c>
      <c r="D228">
        <v>65</v>
      </c>
      <c r="E228">
        <v>70</v>
      </c>
      <c r="F228">
        <f t="shared" si="11"/>
        <v>-5</v>
      </c>
      <c r="G228">
        <f t="shared" si="12"/>
        <v>-7.1428571428571425E-2</v>
      </c>
      <c r="H228" t="s">
        <v>9</v>
      </c>
    </row>
    <row r="229" spans="1:8">
      <c r="A229">
        <v>2023</v>
      </c>
      <c r="B229">
        <v>2</v>
      </c>
      <c r="C229" t="s">
        <v>13</v>
      </c>
      <c r="D229">
        <v>16</v>
      </c>
      <c r="E229">
        <v>15</v>
      </c>
      <c r="F229">
        <f t="shared" si="11"/>
        <v>1</v>
      </c>
      <c r="G229">
        <f t="shared" si="12"/>
        <v>6.6666666666666666E-2</v>
      </c>
      <c r="H229" t="s">
        <v>9</v>
      </c>
    </row>
    <row r="230" spans="1:8">
      <c r="A230">
        <v>2023</v>
      </c>
      <c r="B230">
        <v>2</v>
      </c>
      <c r="C230" t="s">
        <v>14</v>
      </c>
      <c r="D230">
        <v>272</v>
      </c>
      <c r="E230">
        <v>271</v>
      </c>
      <c r="F230">
        <f t="shared" si="11"/>
        <v>1</v>
      </c>
      <c r="G230">
        <f t="shared" si="12"/>
        <v>3.6900369003690036E-3</v>
      </c>
      <c r="H230" t="s">
        <v>9</v>
      </c>
    </row>
    <row r="231" spans="1:8">
      <c r="A231">
        <v>2023</v>
      </c>
      <c r="B231">
        <v>2</v>
      </c>
      <c r="C231" t="s">
        <v>15</v>
      </c>
      <c r="D231">
        <v>162</v>
      </c>
      <c r="E231">
        <v>158</v>
      </c>
      <c r="F231">
        <f t="shared" si="11"/>
        <v>4</v>
      </c>
      <c r="G231">
        <f t="shared" si="12"/>
        <v>2.5316455696202531E-2</v>
      </c>
      <c r="H231" t="s">
        <v>9</v>
      </c>
    </row>
    <row r="232" spans="1:8">
      <c r="A232">
        <v>2023</v>
      </c>
      <c r="B232">
        <v>2</v>
      </c>
      <c r="C232" t="s">
        <v>16</v>
      </c>
      <c r="D232">
        <v>37</v>
      </c>
      <c r="E232">
        <v>30</v>
      </c>
      <c r="F232">
        <f t="shared" si="11"/>
        <v>7</v>
      </c>
      <c r="G232">
        <f t="shared" si="12"/>
        <v>0.23333333333333334</v>
      </c>
      <c r="H232" t="s">
        <v>9</v>
      </c>
    </row>
    <row r="233" spans="1:8">
      <c r="A233">
        <v>2023</v>
      </c>
      <c r="B233">
        <v>2</v>
      </c>
      <c r="C233" t="s">
        <v>17</v>
      </c>
      <c r="D233">
        <v>40</v>
      </c>
      <c r="E233">
        <v>37</v>
      </c>
      <c r="F233">
        <f t="shared" si="11"/>
        <v>3</v>
      </c>
      <c r="G233">
        <f t="shared" si="12"/>
        <v>8.1081081081081086E-2</v>
      </c>
      <c r="H233" t="s">
        <v>9</v>
      </c>
    </row>
    <row r="234" spans="1:8">
      <c r="A234">
        <v>2023</v>
      </c>
      <c r="B234">
        <v>2</v>
      </c>
      <c r="C234" t="s">
        <v>18</v>
      </c>
      <c r="D234">
        <v>63</v>
      </c>
      <c r="E234">
        <v>57</v>
      </c>
      <c r="F234">
        <f t="shared" si="11"/>
        <v>6</v>
      </c>
      <c r="G234">
        <f t="shared" si="12"/>
        <v>0.10526315789473684</v>
      </c>
      <c r="H234" t="s">
        <v>9</v>
      </c>
    </row>
    <row r="235" spans="1:8">
      <c r="A235">
        <v>2023</v>
      </c>
      <c r="B235">
        <v>2</v>
      </c>
      <c r="C235" t="s">
        <v>19</v>
      </c>
      <c r="D235">
        <v>81</v>
      </c>
      <c r="E235">
        <v>70</v>
      </c>
      <c r="F235">
        <f t="shared" si="11"/>
        <v>11</v>
      </c>
      <c r="G235">
        <f t="shared" si="12"/>
        <v>0.15714285714285714</v>
      </c>
      <c r="H235" t="s">
        <v>9</v>
      </c>
    </row>
    <row r="236" spans="1:8">
      <c r="A236">
        <v>2023</v>
      </c>
      <c r="B236">
        <v>2</v>
      </c>
      <c r="C236" t="s">
        <v>20</v>
      </c>
      <c r="D236">
        <v>29</v>
      </c>
      <c r="E236">
        <v>29</v>
      </c>
      <c r="F236">
        <f t="shared" si="11"/>
        <v>0</v>
      </c>
      <c r="G236">
        <f t="shared" si="12"/>
        <v>0</v>
      </c>
      <c r="H236" t="s">
        <v>9</v>
      </c>
    </row>
    <row r="237" spans="1:8">
      <c r="A237">
        <v>2023</v>
      </c>
      <c r="B237">
        <v>2</v>
      </c>
      <c r="C237" t="s">
        <v>21</v>
      </c>
      <c r="D237">
        <v>116</v>
      </c>
      <c r="E237">
        <v>121</v>
      </c>
      <c r="F237">
        <f t="shared" si="11"/>
        <v>-5</v>
      </c>
      <c r="G237">
        <f t="shared" si="12"/>
        <v>-4.1322314049586778E-2</v>
      </c>
      <c r="H237" t="s">
        <v>9</v>
      </c>
    </row>
    <row r="238" spans="1:8">
      <c r="A238">
        <v>2023</v>
      </c>
      <c r="B238">
        <v>2</v>
      </c>
      <c r="C238" t="s">
        <v>22</v>
      </c>
      <c r="D238">
        <v>21</v>
      </c>
      <c r="E238">
        <v>25</v>
      </c>
      <c r="F238">
        <f t="shared" si="11"/>
        <v>-4</v>
      </c>
      <c r="G238">
        <f t="shared" si="12"/>
        <v>-0.16</v>
      </c>
      <c r="H238" t="s">
        <v>9</v>
      </c>
    </row>
    <row r="239" spans="1:8">
      <c r="A239">
        <v>2023</v>
      </c>
      <c r="B239">
        <v>2</v>
      </c>
      <c r="C239" t="s">
        <v>23</v>
      </c>
      <c r="D239">
        <v>33</v>
      </c>
      <c r="E239">
        <v>27</v>
      </c>
      <c r="F239">
        <f t="shared" si="11"/>
        <v>6</v>
      </c>
      <c r="G239">
        <f t="shared" si="12"/>
        <v>0.22222222222222221</v>
      </c>
      <c r="H239" t="s">
        <v>9</v>
      </c>
    </row>
    <row r="240" spans="1:8">
      <c r="A240">
        <v>2023</v>
      </c>
      <c r="B240">
        <v>2</v>
      </c>
      <c r="C240" t="s">
        <v>24</v>
      </c>
      <c r="D240">
        <v>64</v>
      </c>
      <c r="E240">
        <v>58</v>
      </c>
      <c r="F240">
        <f t="shared" si="11"/>
        <v>6</v>
      </c>
      <c r="G240">
        <f t="shared" si="12"/>
        <v>0.10344827586206896</v>
      </c>
      <c r="H240" t="s">
        <v>9</v>
      </c>
    </row>
    <row r="241" spans="1:8">
      <c r="A241">
        <v>2023</v>
      </c>
      <c r="B241">
        <v>2</v>
      </c>
      <c r="C241" t="s">
        <v>25</v>
      </c>
      <c r="D241">
        <v>76</v>
      </c>
      <c r="E241">
        <v>82</v>
      </c>
      <c r="F241">
        <f t="shared" si="11"/>
        <v>-6</v>
      </c>
      <c r="G241">
        <f t="shared" si="12"/>
        <v>-7.3170731707317069E-2</v>
      </c>
      <c r="H241" t="s">
        <v>9</v>
      </c>
    </row>
    <row r="242" spans="1:8">
      <c r="A242">
        <v>2023</v>
      </c>
      <c r="B242">
        <v>2</v>
      </c>
      <c r="C242" t="s">
        <v>26</v>
      </c>
      <c r="D242">
        <v>60</v>
      </c>
      <c r="E242">
        <v>56</v>
      </c>
      <c r="F242">
        <f t="shared" si="11"/>
        <v>4</v>
      </c>
      <c r="G242">
        <f t="shared" si="12"/>
        <v>7.1428571428571425E-2</v>
      </c>
      <c r="H242" t="s">
        <v>9</v>
      </c>
    </row>
    <row r="243" spans="1:8">
      <c r="A243">
        <v>2023</v>
      </c>
      <c r="B243">
        <v>2</v>
      </c>
      <c r="C243" t="s">
        <v>27</v>
      </c>
      <c r="D243">
        <v>112</v>
      </c>
      <c r="E243">
        <v>105</v>
      </c>
      <c r="F243">
        <f t="shared" si="11"/>
        <v>7</v>
      </c>
      <c r="G243">
        <f t="shared" si="12"/>
        <v>6.6666666666666666E-2</v>
      </c>
      <c r="H243" t="s">
        <v>9</v>
      </c>
    </row>
    <row r="244" spans="1:8">
      <c r="A244">
        <v>2023</v>
      </c>
      <c r="B244">
        <v>2</v>
      </c>
      <c r="C244" t="s">
        <v>28</v>
      </c>
      <c r="D244">
        <v>38</v>
      </c>
      <c r="E244">
        <v>36</v>
      </c>
      <c r="F244">
        <f t="shared" si="11"/>
        <v>2</v>
      </c>
      <c r="G244">
        <f t="shared" si="12"/>
        <v>5.5555555555555552E-2</v>
      </c>
      <c r="H244" t="s">
        <v>9</v>
      </c>
    </row>
    <row r="245" spans="1:8">
      <c r="A245">
        <v>2023</v>
      </c>
      <c r="B245">
        <v>2</v>
      </c>
      <c r="C245" t="s">
        <v>29</v>
      </c>
      <c r="D245">
        <v>46</v>
      </c>
      <c r="E245">
        <v>43</v>
      </c>
      <c r="F245">
        <f t="shared" ref="F245:F307" si="13">D245-E245</f>
        <v>3</v>
      </c>
      <c r="G245">
        <f t="shared" ref="G245:G307" si="14">F245/E245</f>
        <v>6.9767441860465115E-2</v>
      </c>
      <c r="H245" t="s">
        <v>9</v>
      </c>
    </row>
    <row r="246" spans="1:8">
      <c r="A246">
        <v>2023</v>
      </c>
      <c r="B246">
        <v>2</v>
      </c>
      <c r="C246" t="s">
        <v>30</v>
      </c>
      <c r="D246">
        <v>80</v>
      </c>
      <c r="E246">
        <v>96</v>
      </c>
      <c r="F246">
        <f t="shared" si="13"/>
        <v>-16</v>
      </c>
      <c r="G246">
        <f t="shared" si="14"/>
        <v>-0.16666666666666666</v>
      </c>
      <c r="H246" t="s">
        <v>9</v>
      </c>
    </row>
    <row r="247" spans="1:8">
      <c r="A247">
        <v>2023</v>
      </c>
      <c r="B247">
        <v>2</v>
      </c>
      <c r="C247" t="s">
        <v>31</v>
      </c>
      <c r="D247">
        <v>47</v>
      </c>
      <c r="E247">
        <v>45</v>
      </c>
      <c r="F247">
        <f t="shared" si="13"/>
        <v>2</v>
      </c>
      <c r="G247">
        <f t="shared" si="14"/>
        <v>4.4444444444444446E-2</v>
      </c>
      <c r="H247" t="s">
        <v>9</v>
      </c>
    </row>
    <row r="248" spans="1:8">
      <c r="A248">
        <v>2023</v>
      </c>
      <c r="B248">
        <v>2</v>
      </c>
      <c r="C248" t="s">
        <v>32</v>
      </c>
      <c r="D248">
        <v>55</v>
      </c>
      <c r="E248">
        <v>38</v>
      </c>
      <c r="F248">
        <f t="shared" si="13"/>
        <v>17</v>
      </c>
      <c r="G248">
        <f t="shared" si="14"/>
        <v>0.44736842105263158</v>
      </c>
      <c r="H248" t="s">
        <v>9</v>
      </c>
    </row>
    <row r="249" spans="1:8">
      <c r="A249">
        <v>2023</v>
      </c>
      <c r="B249">
        <v>2</v>
      </c>
      <c r="C249" t="s">
        <v>33</v>
      </c>
      <c r="D249">
        <v>32</v>
      </c>
      <c r="E249">
        <v>30</v>
      </c>
      <c r="F249">
        <f t="shared" si="13"/>
        <v>2</v>
      </c>
      <c r="G249">
        <f t="shared" si="14"/>
        <v>6.6666666666666666E-2</v>
      </c>
      <c r="H249" t="s">
        <v>9</v>
      </c>
    </row>
    <row r="250" spans="1:8">
      <c r="A250">
        <v>2023</v>
      </c>
      <c r="B250">
        <v>2</v>
      </c>
      <c r="C250" t="s">
        <v>35</v>
      </c>
      <c r="D250">
        <v>31</v>
      </c>
      <c r="E250">
        <v>0</v>
      </c>
      <c r="F250">
        <f t="shared" si="13"/>
        <v>31</v>
      </c>
      <c r="G250" t="e">
        <f t="shared" si="14"/>
        <v>#DIV/0!</v>
      </c>
      <c r="H250" t="s">
        <v>9</v>
      </c>
    </row>
    <row r="251" spans="1:8">
      <c r="A251">
        <v>2023</v>
      </c>
      <c r="B251">
        <v>2</v>
      </c>
      <c r="C251" t="s">
        <v>22</v>
      </c>
      <c r="D251">
        <v>13</v>
      </c>
      <c r="E251">
        <v>14</v>
      </c>
      <c r="F251">
        <f t="shared" si="13"/>
        <v>-1</v>
      </c>
      <c r="G251">
        <f t="shared" si="14"/>
        <v>-7.1428571428571425E-2</v>
      </c>
      <c r="H251" t="s">
        <v>34</v>
      </c>
    </row>
    <row r="252" spans="1:8">
      <c r="A252">
        <v>2023</v>
      </c>
      <c r="B252">
        <v>2</v>
      </c>
      <c r="C252" t="s">
        <v>15</v>
      </c>
      <c r="D252">
        <v>65</v>
      </c>
      <c r="E252">
        <v>62</v>
      </c>
      <c r="F252">
        <f t="shared" si="13"/>
        <v>3</v>
      </c>
      <c r="G252">
        <f t="shared" si="14"/>
        <v>4.8387096774193547E-2</v>
      </c>
      <c r="H252" t="s">
        <v>34</v>
      </c>
    </row>
    <row r="253" spans="1:8">
      <c r="A253">
        <v>2023</v>
      </c>
      <c r="B253">
        <v>3</v>
      </c>
      <c r="C253" t="s">
        <v>8</v>
      </c>
      <c r="D253">
        <v>12</v>
      </c>
      <c r="E253">
        <v>10</v>
      </c>
      <c r="F253">
        <f t="shared" si="13"/>
        <v>2</v>
      </c>
      <c r="G253">
        <f t="shared" si="14"/>
        <v>0.2</v>
      </c>
      <c r="H253" t="s">
        <v>9</v>
      </c>
    </row>
    <row r="254" spans="1:8">
      <c r="A254">
        <v>2023</v>
      </c>
      <c r="B254">
        <v>3</v>
      </c>
      <c r="C254" t="s">
        <v>10</v>
      </c>
      <c r="D254">
        <v>45</v>
      </c>
      <c r="E254">
        <v>38</v>
      </c>
      <c r="F254">
        <f t="shared" si="13"/>
        <v>7</v>
      </c>
      <c r="G254">
        <f t="shared" si="14"/>
        <v>0.18421052631578946</v>
      </c>
      <c r="H254" t="s">
        <v>9</v>
      </c>
    </row>
    <row r="255" spans="1:8">
      <c r="A255">
        <v>2023</v>
      </c>
      <c r="B255">
        <v>3</v>
      </c>
      <c r="C255" t="s">
        <v>11</v>
      </c>
      <c r="D255">
        <v>46</v>
      </c>
      <c r="E255">
        <v>41</v>
      </c>
      <c r="F255">
        <f t="shared" si="13"/>
        <v>5</v>
      </c>
      <c r="G255">
        <f t="shared" si="14"/>
        <v>0.12195121951219512</v>
      </c>
      <c r="H255" t="s">
        <v>9</v>
      </c>
    </row>
    <row r="256" spans="1:8">
      <c r="A256">
        <v>2023</v>
      </c>
      <c r="B256">
        <v>3</v>
      </c>
      <c r="C256" t="s">
        <v>12</v>
      </c>
      <c r="D256">
        <v>65</v>
      </c>
      <c r="E256">
        <v>70</v>
      </c>
      <c r="F256">
        <f t="shared" si="13"/>
        <v>-5</v>
      </c>
      <c r="G256">
        <f t="shared" si="14"/>
        <v>-7.1428571428571425E-2</v>
      </c>
      <c r="H256" t="s">
        <v>9</v>
      </c>
    </row>
    <row r="257" spans="1:8">
      <c r="A257">
        <v>2023</v>
      </c>
      <c r="B257">
        <v>3</v>
      </c>
      <c r="C257" t="s">
        <v>13</v>
      </c>
      <c r="D257">
        <v>16</v>
      </c>
      <c r="E257">
        <v>15</v>
      </c>
      <c r="F257">
        <f t="shared" si="13"/>
        <v>1</v>
      </c>
      <c r="G257">
        <f t="shared" si="14"/>
        <v>6.6666666666666666E-2</v>
      </c>
      <c r="H257" t="s">
        <v>9</v>
      </c>
    </row>
    <row r="258" spans="1:8">
      <c r="A258">
        <v>2023</v>
      </c>
      <c r="B258">
        <v>3</v>
      </c>
      <c r="C258" t="s">
        <v>14</v>
      </c>
      <c r="D258">
        <v>268</v>
      </c>
      <c r="E258">
        <v>265</v>
      </c>
      <c r="F258">
        <f t="shared" si="13"/>
        <v>3</v>
      </c>
      <c r="G258">
        <f t="shared" si="14"/>
        <v>1.1320754716981131E-2</v>
      </c>
      <c r="H258" t="s">
        <v>9</v>
      </c>
    </row>
    <row r="259" spans="1:8">
      <c r="A259">
        <v>2023</v>
      </c>
      <c r="B259">
        <v>3</v>
      </c>
      <c r="C259" t="s">
        <v>15</v>
      </c>
      <c r="D259">
        <v>162</v>
      </c>
      <c r="E259">
        <v>160</v>
      </c>
      <c r="F259">
        <f t="shared" si="13"/>
        <v>2</v>
      </c>
      <c r="G259">
        <f t="shared" si="14"/>
        <v>1.2500000000000001E-2</v>
      </c>
      <c r="H259" t="s">
        <v>9</v>
      </c>
    </row>
    <row r="260" spans="1:8">
      <c r="A260">
        <v>2023</v>
      </c>
      <c r="B260">
        <v>3</v>
      </c>
      <c r="C260" t="s">
        <v>16</v>
      </c>
      <c r="D260">
        <v>37</v>
      </c>
      <c r="E260">
        <v>32</v>
      </c>
      <c r="F260">
        <f t="shared" si="13"/>
        <v>5</v>
      </c>
      <c r="G260">
        <f t="shared" si="14"/>
        <v>0.15625</v>
      </c>
      <c r="H260" t="s">
        <v>9</v>
      </c>
    </row>
    <row r="261" spans="1:8">
      <c r="A261">
        <v>2023</v>
      </c>
      <c r="B261">
        <v>3</v>
      </c>
      <c r="C261" t="s">
        <v>17</v>
      </c>
      <c r="D261">
        <v>41</v>
      </c>
      <c r="E261">
        <v>37</v>
      </c>
      <c r="F261">
        <f t="shared" si="13"/>
        <v>4</v>
      </c>
      <c r="G261">
        <f t="shared" si="14"/>
        <v>0.10810810810810811</v>
      </c>
      <c r="H261" t="s">
        <v>9</v>
      </c>
    </row>
    <row r="262" spans="1:8">
      <c r="A262">
        <v>2023</v>
      </c>
      <c r="B262">
        <v>3</v>
      </c>
      <c r="C262" t="s">
        <v>18</v>
      </c>
      <c r="D262">
        <v>65</v>
      </c>
      <c r="E262">
        <v>63</v>
      </c>
      <c r="F262">
        <f t="shared" si="13"/>
        <v>2</v>
      </c>
      <c r="G262">
        <f t="shared" si="14"/>
        <v>3.1746031746031744E-2</v>
      </c>
      <c r="H262" t="s">
        <v>9</v>
      </c>
    </row>
    <row r="263" spans="1:8">
      <c r="A263">
        <v>2023</v>
      </c>
      <c r="B263">
        <v>3</v>
      </c>
      <c r="C263" t="s">
        <v>19</v>
      </c>
      <c r="D263">
        <v>79</v>
      </c>
      <c r="E263">
        <v>74</v>
      </c>
      <c r="F263">
        <f t="shared" si="13"/>
        <v>5</v>
      </c>
      <c r="G263">
        <f t="shared" si="14"/>
        <v>6.7567567567567571E-2</v>
      </c>
      <c r="H263" t="s">
        <v>9</v>
      </c>
    </row>
    <row r="264" spans="1:8">
      <c r="A264">
        <v>2023</v>
      </c>
      <c r="B264">
        <v>3</v>
      </c>
      <c r="C264" t="s">
        <v>20</v>
      </c>
      <c r="D264">
        <v>29</v>
      </c>
      <c r="E264">
        <v>29</v>
      </c>
      <c r="F264">
        <f t="shared" si="13"/>
        <v>0</v>
      </c>
      <c r="G264">
        <f t="shared" si="14"/>
        <v>0</v>
      </c>
      <c r="H264" t="s">
        <v>9</v>
      </c>
    </row>
    <row r="265" spans="1:8">
      <c r="A265">
        <v>2023</v>
      </c>
      <c r="B265">
        <v>3</v>
      </c>
      <c r="C265" t="s">
        <v>21</v>
      </c>
      <c r="D265">
        <v>114</v>
      </c>
      <c r="E265">
        <v>122</v>
      </c>
      <c r="F265">
        <f t="shared" si="13"/>
        <v>-8</v>
      </c>
      <c r="G265">
        <f t="shared" si="14"/>
        <v>-6.5573770491803282E-2</v>
      </c>
      <c r="H265" t="s">
        <v>9</v>
      </c>
    </row>
    <row r="266" spans="1:8">
      <c r="A266">
        <v>2023</v>
      </c>
      <c r="B266">
        <v>3</v>
      </c>
      <c r="C266" t="s">
        <v>22</v>
      </c>
      <c r="D266">
        <v>22</v>
      </c>
      <c r="E266">
        <v>24</v>
      </c>
      <c r="F266">
        <f t="shared" si="13"/>
        <v>-2</v>
      </c>
      <c r="G266">
        <f t="shared" si="14"/>
        <v>-8.3333333333333329E-2</v>
      </c>
      <c r="H266" t="s">
        <v>9</v>
      </c>
    </row>
    <row r="267" spans="1:8">
      <c r="A267">
        <v>2023</v>
      </c>
      <c r="B267">
        <v>3</v>
      </c>
      <c r="C267" t="s">
        <v>23</v>
      </c>
      <c r="D267">
        <v>34</v>
      </c>
      <c r="E267">
        <v>27</v>
      </c>
      <c r="F267">
        <f t="shared" si="13"/>
        <v>7</v>
      </c>
      <c r="G267">
        <f t="shared" si="14"/>
        <v>0.25925925925925924</v>
      </c>
      <c r="H267" t="s">
        <v>9</v>
      </c>
    </row>
    <row r="268" spans="1:8">
      <c r="A268">
        <v>2023</v>
      </c>
      <c r="B268">
        <v>3</v>
      </c>
      <c r="C268" t="s">
        <v>24</v>
      </c>
      <c r="D268">
        <v>64</v>
      </c>
      <c r="E268">
        <v>60</v>
      </c>
      <c r="F268">
        <f t="shared" si="13"/>
        <v>4</v>
      </c>
      <c r="G268">
        <f t="shared" si="14"/>
        <v>6.6666666666666666E-2</v>
      </c>
      <c r="H268" t="s">
        <v>9</v>
      </c>
    </row>
    <row r="269" spans="1:8">
      <c r="A269">
        <v>2023</v>
      </c>
      <c r="B269">
        <v>3</v>
      </c>
      <c r="C269" t="s">
        <v>25</v>
      </c>
      <c r="D269">
        <v>78</v>
      </c>
      <c r="E269">
        <v>86</v>
      </c>
      <c r="F269">
        <f t="shared" si="13"/>
        <v>-8</v>
      </c>
      <c r="G269">
        <f t="shared" si="14"/>
        <v>-9.3023255813953487E-2</v>
      </c>
      <c r="H269" t="s">
        <v>9</v>
      </c>
    </row>
    <row r="270" spans="1:8">
      <c r="A270">
        <v>2023</v>
      </c>
      <c r="B270">
        <v>3</v>
      </c>
      <c r="C270" t="s">
        <v>26</v>
      </c>
      <c r="D270">
        <v>60</v>
      </c>
      <c r="E270">
        <v>65</v>
      </c>
      <c r="F270">
        <f t="shared" si="13"/>
        <v>-5</v>
      </c>
      <c r="G270">
        <f t="shared" si="14"/>
        <v>-7.6923076923076927E-2</v>
      </c>
      <c r="H270" t="s">
        <v>9</v>
      </c>
    </row>
    <row r="271" spans="1:8">
      <c r="A271">
        <v>2023</v>
      </c>
      <c r="B271">
        <v>3</v>
      </c>
      <c r="C271" t="s">
        <v>27</v>
      </c>
      <c r="D271">
        <v>113</v>
      </c>
      <c r="E271">
        <v>108</v>
      </c>
      <c r="F271">
        <f t="shared" si="13"/>
        <v>5</v>
      </c>
      <c r="G271">
        <f t="shared" si="14"/>
        <v>4.6296296296296294E-2</v>
      </c>
      <c r="H271" t="s">
        <v>9</v>
      </c>
    </row>
    <row r="272" spans="1:8">
      <c r="A272">
        <v>2023</v>
      </c>
      <c r="B272">
        <v>3</v>
      </c>
      <c r="C272" t="s">
        <v>28</v>
      </c>
      <c r="D272">
        <v>34</v>
      </c>
      <c r="E272">
        <v>37</v>
      </c>
      <c r="F272">
        <f t="shared" si="13"/>
        <v>-3</v>
      </c>
      <c r="G272">
        <f t="shared" si="14"/>
        <v>-8.1081081081081086E-2</v>
      </c>
      <c r="H272" t="s">
        <v>9</v>
      </c>
    </row>
    <row r="273" spans="1:8">
      <c r="A273">
        <v>2023</v>
      </c>
      <c r="B273">
        <v>3</v>
      </c>
      <c r="C273" t="s">
        <v>29</v>
      </c>
      <c r="D273">
        <v>45</v>
      </c>
      <c r="E273">
        <v>46</v>
      </c>
      <c r="F273">
        <f t="shared" si="13"/>
        <v>-1</v>
      </c>
      <c r="G273">
        <f t="shared" si="14"/>
        <v>-2.1739130434782608E-2</v>
      </c>
      <c r="H273" t="s">
        <v>9</v>
      </c>
    </row>
    <row r="274" spans="1:8">
      <c r="A274">
        <v>2023</v>
      </c>
      <c r="B274">
        <v>3</v>
      </c>
      <c r="C274" t="s">
        <v>30</v>
      </c>
      <c r="D274">
        <v>81</v>
      </c>
      <c r="E274">
        <v>99</v>
      </c>
      <c r="F274">
        <f t="shared" si="13"/>
        <v>-18</v>
      </c>
      <c r="G274">
        <f t="shared" si="14"/>
        <v>-0.18181818181818182</v>
      </c>
      <c r="H274" t="s">
        <v>9</v>
      </c>
    </row>
    <row r="275" spans="1:8">
      <c r="A275">
        <v>2023</v>
      </c>
      <c r="B275">
        <v>3</v>
      </c>
      <c r="C275" t="s">
        <v>31</v>
      </c>
      <c r="D275">
        <v>49</v>
      </c>
      <c r="E275">
        <v>45</v>
      </c>
      <c r="F275">
        <f t="shared" si="13"/>
        <v>4</v>
      </c>
      <c r="G275">
        <f t="shared" si="14"/>
        <v>8.8888888888888892E-2</v>
      </c>
      <c r="H275" t="s">
        <v>9</v>
      </c>
    </row>
    <row r="276" spans="1:8">
      <c r="A276">
        <v>2023</v>
      </c>
      <c r="B276">
        <v>3</v>
      </c>
      <c r="C276" t="s">
        <v>32</v>
      </c>
      <c r="D276">
        <v>59</v>
      </c>
      <c r="E276">
        <v>37</v>
      </c>
      <c r="F276">
        <f t="shared" si="13"/>
        <v>22</v>
      </c>
      <c r="G276">
        <f t="shared" si="14"/>
        <v>0.59459459459459463</v>
      </c>
      <c r="H276" t="s">
        <v>9</v>
      </c>
    </row>
    <row r="277" spans="1:8">
      <c r="A277">
        <v>2023</v>
      </c>
      <c r="B277">
        <v>3</v>
      </c>
      <c r="C277" t="s">
        <v>33</v>
      </c>
      <c r="D277">
        <v>31</v>
      </c>
      <c r="E277">
        <v>32</v>
      </c>
      <c r="F277">
        <f t="shared" si="13"/>
        <v>-1</v>
      </c>
      <c r="G277">
        <f t="shared" si="14"/>
        <v>-3.125E-2</v>
      </c>
      <c r="H277" t="s">
        <v>9</v>
      </c>
    </row>
    <row r="278" spans="1:8">
      <c r="A278">
        <v>2023</v>
      </c>
      <c r="B278">
        <v>3</v>
      </c>
      <c r="C278" t="s">
        <v>35</v>
      </c>
      <c r="D278">
        <v>31</v>
      </c>
      <c r="E278">
        <v>0</v>
      </c>
      <c r="F278">
        <f t="shared" si="13"/>
        <v>31</v>
      </c>
      <c r="G278" t="e">
        <f t="shared" si="14"/>
        <v>#DIV/0!</v>
      </c>
      <c r="H278" t="s">
        <v>9</v>
      </c>
    </row>
    <row r="279" spans="1:8">
      <c r="A279">
        <v>2023</v>
      </c>
      <c r="B279">
        <v>3</v>
      </c>
      <c r="C279" t="s">
        <v>15</v>
      </c>
      <c r="D279">
        <v>65</v>
      </c>
      <c r="E279">
        <v>60</v>
      </c>
      <c r="F279">
        <f t="shared" si="13"/>
        <v>5</v>
      </c>
      <c r="G279">
        <f t="shared" si="14"/>
        <v>8.3333333333333329E-2</v>
      </c>
      <c r="H279" t="s">
        <v>34</v>
      </c>
    </row>
    <row r="280" spans="1:8">
      <c r="A280">
        <v>2023</v>
      </c>
      <c r="B280">
        <v>4</v>
      </c>
      <c r="C280" t="s">
        <v>8</v>
      </c>
      <c r="D280">
        <v>12</v>
      </c>
      <c r="E280">
        <v>10</v>
      </c>
      <c r="F280">
        <f t="shared" si="13"/>
        <v>2</v>
      </c>
      <c r="G280">
        <f t="shared" si="14"/>
        <v>0.2</v>
      </c>
      <c r="H280" t="s">
        <v>9</v>
      </c>
    </row>
    <row r="281" spans="1:8">
      <c r="A281">
        <v>2023</v>
      </c>
      <c r="B281">
        <v>4</v>
      </c>
      <c r="C281" t="s">
        <v>10</v>
      </c>
      <c r="D281">
        <v>45</v>
      </c>
      <c r="E281">
        <v>38</v>
      </c>
      <c r="F281">
        <f t="shared" si="13"/>
        <v>7</v>
      </c>
      <c r="G281">
        <f t="shared" si="14"/>
        <v>0.18421052631578946</v>
      </c>
      <c r="H281" t="s">
        <v>9</v>
      </c>
    </row>
    <row r="282" spans="1:8">
      <c r="A282">
        <v>2023</v>
      </c>
      <c r="B282">
        <v>4</v>
      </c>
      <c r="C282" t="s">
        <v>11</v>
      </c>
      <c r="D282">
        <v>46</v>
      </c>
      <c r="E282">
        <v>41</v>
      </c>
      <c r="F282">
        <f t="shared" si="13"/>
        <v>5</v>
      </c>
      <c r="G282">
        <f t="shared" si="14"/>
        <v>0.12195121951219512</v>
      </c>
      <c r="H282" t="s">
        <v>9</v>
      </c>
    </row>
    <row r="283" spans="1:8">
      <c r="A283">
        <v>2023</v>
      </c>
      <c r="B283">
        <v>4</v>
      </c>
      <c r="C283" t="s">
        <v>12</v>
      </c>
      <c r="D283">
        <v>65</v>
      </c>
      <c r="E283">
        <v>70</v>
      </c>
      <c r="F283">
        <f t="shared" si="13"/>
        <v>-5</v>
      </c>
      <c r="G283">
        <f t="shared" si="14"/>
        <v>-7.1428571428571425E-2</v>
      </c>
      <c r="H283" t="s">
        <v>9</v>
      </c>
    </row>
    <row r="284" spans="1:8">
      <c r="A284">
        <v>2023</v>
      </c>
      <c r="B284">
        <v>4</v>
      </c>
      <c r="C284" t="s">
        <v>13</v>
      </c>
      <c r="D284">
        <v>16</v>
      </c>
      <c r="E284">
        <v>15</v>
      </c>
      <c r="F284">
        <f t="shared" si="13"/>
        <v>1</v>
      </c>
      <c r="G284">
        <f t="shared" si="14"/>
        <v>6.6666666666666666E-2</v>
      </c>
      <c r="H284" t="s">
        <v>9</v>
      </c>
    </row>
    <row r="285" spans="1:8">
      <c r="A285">
        <v>2023</v>
      </c>
      <c r="B285">
        <v>4</v>
      </c>
      <c r="C285" t="s">
        <v>14</v>
      </c>
      <c r="D285">
        <v>268</v>
      </c>
      <c r="E285">
        <v>265</v>
      </c>
      <c r="F285">
        <f t="shared" si="13"/>
        <v>3</v>
      </c>
      <c r="G285">
        <f t="shared" si="14"/>
        <v>1.1320754716981131E-2</v>
      </c>
      <c r="H285" t="s">
        <v>9</v>
      </c>
    </row>
    <row r="286" spans="1:8">
      <c r="A286">
        <v>2023</v>
      </c>
      <c r="B286">
        <v>4</v>
      </c>
      <c r="C286" t="s">
        <v>15</v>
      </c>
      <c r="D286">
        <v>162</v>
      </c>
      <c r="E286">
        <v>160</v>
      </c>
      <c r="F286">
        <f t="shared" si="13"/>
        <v>2</v>
      </c>
      <c r="G286">
        <f t="shared" si="14"/>
        <v>1.2500000000000001E-2</v>
      </c>
      <c r="H286" t="s">
        <v>9</v>
      </c>
    </row>
    <row r="287" spans="1:8">
      <c r="A287">
        <v>2023</v>
      </c>
      <c r="B287">
        <v>4</v>
      </c>
      <c r="C287" t="s">
        <v>16</v>
      </c>
      <c r="D287">
        <v>37</v>
      </c>
      <c r="E287">
        <v>32</v>
      </c>
      <c r="F287">
        <f t="shared" si="13"/>
        <v>5</v>
      </c>
      <c r="G287">
        <f t="shared" si="14"/>
        <v>0.15625</v>
      </c>
      <c r="H287" t="s">
        <v>9</v>
      </c>
    </row>
    <row r="288" spans="1:8">
      <c r="A288">
        <v>2023</v>
      </c>
      <c r="B288">
        <v>4</v>
      </c>
      <c r="C288" t="s">
        <v>17</v>
      </c>
      <c r="D288">
        <v>41</v>
      </c>
      <c r="E288">
        <v>37</v>
      </c>
      <c r="F288">
        <f t="shared" si="13"/>
        <v>4</v>
      </c>
      <c r="G288">
        <f t="shared" si="14"/>
        <v>0.10810810810810811</v>
      </c>
      <c r="H288" t="s">
        <v>9</v>
      </c>
    </row>
    <row r="289" spans="1:8">
      <c r="A289">
        <v>2023</v>
      </c>
      <c r="B289">
        <v>4</v>
      </c>
      <c r="C289" t="s">
        <v>18</v>
      </c>
      <c r="D289">
        <v>65</v>
      </c>
      <c r="E289">
        <v>63</v>
      </c>
      <c r="F289">
        <f t="shared" si="13"/>
        <v>2</v>
      </c>
      <c r="G289">
        <f t="shared" si="14"/>
        <v>3.1746031746031744E-2</v>
      </c>
      <c r="H289" t="s">
        <v>9</v>
      </c>
    </row>
    <row r="290" spans="1:8">
      <c r="A290">
        <v>2023</v>
      </c>
      <c r="B290">
        <v>4</v>
      </c>
      <c r="C290" t="s">
        <v>19</v>
      </c>
      <c r="D290">
        <v>79</v>
      </c>
      <c r="E290">
        <v>74</v>
      </c>
      <c r="F290">
        <f t="shared" si="13"/>
        <v>5</v>
      </c>
      <c r="G290">
        <f t="shared" si="14"/>
        <v>6.7567567567567571E-2</v>
      </c>
      <c r="H290" t="s">
        <v>9</v>
      </c>
    </row>
    <row r="291" spans="1:8">
      <c r="A291">
        <v>2023</v>
      </c>
      <c r="B291">
        <v>4</v>
      </c>
      <c r="C291" t="s">
        <v>20</v>
      </c>
      <c r="D291">
        <v>29</v>
      </c>
      <c r="E291">
        <v>29</v>
      </c>
      <c r="F291">
        <f t="shared" si="13"/>
        <v>0</v>
      </c>
      <c r="G291">
        <f t="shared" si="14"/>
        <v>0</v>
      </c>
      <c r="H291" t="s">
        <v>9</v>
      </c>
    </row>
    <row r="292" spans="1:8">
      <c r="A292">
        <v>2023</v>
      </c>
      <c r="B292">
        <v>4</v>
      </c>
      <c r="C292" t="s">
        <v>21</v>
      </c>
      <c r="D292">
        <v>114</v>
      </c>
      <c r="E292">
        <v>122</v>
      </c>
      <c r="F292">
        <f t="shared" si="13"/>
        <v>-8</v>
      </c>
      <c r="G292">
        <f t="shared" si="14"/>
        <v>-6.5573770491803282E-2</v>
      </c>
      <c r="H292" t="s">
        <v>9</v>
      </c>
    </row>
    <row r="293" spans="1:8">
      <c r="A293">
        <v>2023</v>
      </c>
      <c r="B293">
        <v>4</v>
      </c>
      <c r="C293" t="s">
        <v>22</v>
      </c>
      <c r="D293">
        <v>22</v>
      </c>
      <c r="E293">
        <v>24</v>
      </c>
      <c r="F293">
        <f t="shared" si="13"/>
        <v>-2</v>
      </c>
      <c r="G293">
        <f t="shared" si="14"/>
        <v>-8.3333333333333329E-2</v>
      </c>
      <c r="H293" t="s">
        <v>9</v>
      </c>
    </row>
    <row r="294" spans="1:8">
      <c r="A294">
        <v>2023</v>
      </c>
      <c r="B294">
        <v>4</v>
      </c>
      <c r="C294" t="s">
        <v>23</v>
      </c>
      <c r="D294">
        <v>34</v>
      </c>
      <c r="E294">
        <v>27</v>
      </c>
      <c r="F294">
        <f t="shared" si="13"/>
        <v>7</v>
      </c>
      <c r="G294">
        <f t="shared" si="14"/>
        <v>0.25925925925925924</v>
      </c>
      <c r="H294" t="s">
        <v>9</v>
      </c>
    </row>
    <row r="295" spans="1:8">
      <c r="A295">
        <v>2023</v>
      </c>
      <c r="B295">
        <v>4</v>
      </c>
      <c r="C295" t="s">
        <v>24</v>
      </c>
      <c r="D295">
        <v>64</v>
      </c>
      <c r="E295">
        <v>60</v>
      </c>
      <c r="F295">
        <f t="shared" si="13"/>
        <v>4</v>
      </c>
      <c r="G295">
        <f t="shared" si="14"/>
        <v>6.6666666666666666E-2</v>
      </c>
      <c r="H295" t="s">
        <v>9</v>
      </c>
    </row>
    <row r="296" spans="1:8">
      <c r="A296">
        <v>2023</v>
      </c>
      <c r="B296">
        <v>4</v>
      </c>
      <c r="C296" t="s">
        <v>25</v>
      </c>
      <c r="D296">
        <v>78</v>
      </c>
      <c r="E296">
        <v>86</v>
      </c>
      <c r="F296">
        <f t="shared" si="13"/>
        <v>-8</v>
      </c>
      <c r="G296">
        <f t="shared" si="14"/>
        <v>-9.3023255813953487E-2</v>
      </c>
      <c r="H296" t="s">
        <v>9</v>
      </c>
    </row>
    <row r="297" spans="1:8">
      <c r="A297">
        <v>2023</v>
      </c>
      <c r="B297">
        <v>4</v>
      </c>
      <c r="C297" t="s">
        <v>26</v>
      </c>
      <c r="D297">
        <v>60</v>
      </c>
      <c r="E297">
        <v>65</v>
      </c>
      <c r="F297">
        <f t="shared" si="13"/>
        <v>-5</v>
      </c>
      <c r="G297">
        <f t="shared" si="14"/>
        <v>-7.6923076923076927E-2</v>
      </c>
      <c r="H297" t="s">
        <v>9</v>
      </c>
    </row>
    <row r="298" spans="1:8">
      <c r="A298">
        <v>2023</v>
      </c>
      <c r="B298">
        <v>4</v>
      </c>
      <c r="C298" t="s">
        <v>27</v>
      </c>
      <c r="D298">
        <v>113</v>
      </c>
      <c r="E298">
        <v>108</v>
      </c>
      <c r="F298">
        <f t="shared" si="13"/>
        <v>5</v>
      </c>
      <c r="G298">
        <f t="shared" si="14"/>
        <v>4.6296296296296294E-2</v>
      </c>
      <c r="H298" t="s">
        <v>9</v>
      </c>
    </row>
    <row r="299" spans="1:8">
      <c r="A299">
        <v>2023</v>
      </c>
      <c r="B299">
        <v>4</v>
      </c>
      <c r="C299" t="s">
        <v>28</v>
      </c>
      <c r="D299">
        <v>34</v>
      </c>
      <c r="E299">
        <v>37</v>
      </c>
      <c r="F299">
        <f t="shared" si="13"/>
        <v>-3</v>
      </c>
      <c r="G299">
        <f t="shared" si="14"/>
        <v>-8.1081081081081086E-2</v>
      </c>
      <c r="H299" t="s">
        <v>9</v>
      </c>
    </row>
    <row r="300" spans="1:8">
      <c r="A300">
        <v>2023</v>
      </c>
      <c r="B300">
        <v>4</v>
      </c>
      <c r="C300" t="s">
        <v>29</v>
      </c>
      <c r="D300">
        <v>45</v>
      </c>
      <c r="E300">
        <v>46</v>
      </c>
      <c r="F300">
        <f t="shared" si="13"/>
        <v>-1</v>
      </c>
      <c r="G300">
        <f t="shared" si="14"/>
        <v>-2.1739130434782608E-2</v>
      </c>
      <c r="H300" t="s">
        <v>9</v>
      </c>
    </row>
    <row r="301" spans="1:8">
      <c r="A301">
        <v>2023</v>
      </c>
      <c r="B301">
        <v>4</v>
      </c>
      <c r="C301" t="s">
        <v>30</v>
      </c>
      <c r="D301">
        <v>81</v>
      </c>
      <c r="E301">
        <v>99</v>
      </c>
      <c r="F301">
        <f t="shared" si="13"/>
        <v>-18</v>
      </c>
      <c r="G301">
        <f t="shared" si="14"/>
        <v>-0.18181818181818182</v>
      </c>
      <c r="H301" t="s">
        <v>9</v>
      </c>
    </row>
    <row r="302" spans="1:8">
      <c r="A302">
        <v>2023</v>
      </c>
      <c r="B302">
        <v>4</v>
      </c>
      <c r="C302" t="s">
        <v>31</v>
      </c>
      <c r="D302">
        <v>49</v>
      </c>
      <c r="E302">
        <v>45</v>
      </c>
      <c r="F302">
        <f t="shared" si="13"/>
        <v>4</v>
      </c>
      <c r="G302">
        <f t="shared" si="14"/>
        <v>8.8888888888888892E-2</v>
      </c>
      <c r="H302" t="s">
        <v>9</v>
      </c>
    </row>
    <row r="303" spans="1:8">
      <c r="A303">
        <v>2023</v>
      </c>
      <c r="B303">
        <v>4</v>
      </c>
      <c r="C303" t="s">
        <v>32</v>
      </c>
      <c r="D303">
        <v>59</v>
      </c>
      <c r="E303">
        <v>37</v>
      </c>
      <c r="F303">
        <f t="shared" si="13"/>
        <v>22</v>
      </c>
      <c r="G303">
        <f t="shared" si="14"/>
        <v>0.59459459459459463</v>
      </c>
      <c r="H303" t="s">
        <v>9</v>
      </c>
    </row>
    <row r="304" spans="1:8">
      <c r="A304">
        <v>2023</v>
      </c>
      <c r="B304">
        <v>4</v>
      </c>
      <c r="C304" t="s">
        <v>33</v>
      </c>
      <c r="D304">
        <v>31</v>
      </c>
      <c r="E304">
        <v>32</v>
      </c>
      <c r="F304">
        <f t="shared" si="13"/>
        <v>-1</v>
      </c>
      <c r="G304">
        <f t="shared" si="14"/>
        <v>-3.125E-2</v>
      </c>
      <c r="H304" t="s">
        <v>9</v>
      </c>
    </row>
    <row r="305" spans="1:8">
      <c r="A305">
        <v>2023</v>
      </c>
      <c r="B305">
        <v>4</v>
      </c>
      <c r="C305" t="s">
        <v>35</v>
      </c>
      <c r="D305">
        <v>31</v>
      </c>
      <c r="E305">
        <v>0</v>
      </c>
      <c r="F305">
        <f t="shared" si="13"/>
        <v>31</v>
      </c>
      <c r="G305" t="e">
        <f t="shared" si="14"/>
        <v>#DIV/0!</v>
      </c>
      <c r="H305" t="s">
        <v>9</v>
      </c>
    </row>
    <row r="306" spans="1:8">
      <c r="A306">
        <v>2023</v>
      </c>
      <c r="B306">
        <v>4</v>
      </c>
      <c r="C306" t="s">
        <v>15</v>
      </c>
      <c r="D306">
        <v>65</v>
      </c>
      <c r="E306">
        <v>60</v>
      </c>
      <c r="F306">
        <f t="shared" si="13"/>
        <v>5</v>
      </c>
      <c r="G306">
        <f t="shared" si="14"/>
        <v>8.3333333333333329E-2</v>
      </c>
      <c r="H306" t="s">
        <v>34</v>
      </c>
    </row>
    <row r="307" spans="1:8">
      <c r="A307">
        <v>2023</v>
      </c>
      <c r="B307">
        <v>5</v>
      </c>
      <c r="C307" t="s">
        <v>8</v>
      </c>
      <c r="D307">
        <v>12</v>
      </c>
      <c r="E307">
        <v>10</v>
      </c>
      <c r="F307">
        <f t="shared" si="13"/>
        <v>2</v>
      </c>
      <c r="G307">
        <f t="shared" si="14"/>
        <v>0.2</v>
      </c>
      <c r="H307" t="s">
        <v>9</v>
      </c>
    </row>
    <row r="308" spans="1:8">
      <c r="A308">
        <v>2023</v>
      </c>
      <c r="B308">
        <v>5</v>
      </c>
      <c r="C308" t="s">
        <v>10</v>
      </c>
      <c r="D308">
        <v>45</v>
      </c>
      <c r="E308">
        <v>38</v>
      </c>
      <c r="F308">
        <f t="shared" ref="F308:F359" si="15">D308-E308</f>
        <v>7</v>
      </c>
      <c r="G308">
        <f t="shared" ref="G308:G371" si="16">F308/E308</f>
        <v>0.18421052631578946</v>
      </c>
      <c r="H308" t="s">
        <v>9</v>
      </c>
    </row>
    <row r="309" spans="1:8">
      <c r="A309">
        <v>2023</v>
      </c>
      <c r="B309">
        <v>5</v>
      </c>
      <c r="C309" t="s">
        <v>11</v>
      </c>
      <c r="D309">
        <v>46</v>
      </c>
      <c r="E309">
        <v>41</v>
      </c>
      <c r="F309">
        <f t="shared" si="15"/>
        <v>5</v>
      </c>
      <c r="G309">
        <f t="shared" si="16"/>
        <v>0.12195121951219512</v>
      </c>
      <c r="H309" t="s">
        <v>9</v>
      </c>
    </row>
    <row r="310" spans="1:8">
      <c r="A310">
        <v>2023</v>
      </c>
      <c r="B310">
        <v>5</v>
      </c>
      <c r="C310" t="s">
        <v>12</v>
      </c>
      <c r="D310">
        <v>65</v>
      </c>
      <c r="E310">
        <v>70</v>
      </c>
      <c r="F310">
        <f t="shared" si="15"/>
        <v>-5</v>
      </c>
      <c r="G310">
        <f t="shared" si="16"/>
        <v>-7.1428571428571425E-2</v>
      </c>
      <c r="H310" t="s">
        <v>9</v>
      </c>
    </row>
    <row r="311" spans="1:8">
      <c r="A311">
        <v>2023</v>
      </c>
      <c r="B311">
        <v>5</v>
      </c>
      <c r="C311" t="s">
        <v>13</v>
      </c>
      <c r="D311">
        <v>16</v>
      </c>
      <c r="E311">
        <v>15</v>
      </c>
      <c r="F311">
        <f t="shared" si="15"/>
        <v>1</v>
      </c>
      <c r="G311">
        <f t="shared" si="16"/>
        <v>6.6666666666666666E-2</v>
      </c>
      <c r="H311" t="s">
        <v>9</v>
      </c>
    </row>
    <row r="312" spans="1:8">
      <c r="A312">
        <v>2023</v>
      </c>
      <c r="B312">
        <v>5</v>
      </c>
      <c r="C312" t="s">
        <v>14</v>
      </c>
      <c r="D312">
        <v>268</v>
      </c>
      <c r="E312">
        <v>265</v>
      </c>
      <c r="F312">
        <f t="shared" si="15"/>
        <v>3</v>
      </c>
      <c r="G312">
        <f t="shared" si="16"/>
        <v>1.1320754716981131E-2</v>
      </c>
      <c r="H312" t="s">
        <v>9</v>
      </c>
    </row>
    <row r="313" spans="1:8">
      <c r="A313">
        <v>2023</v>
      </c>
      <c r="B313">
        <v>5</v>
      </c>
      <c r="C313" t="s">
        <v>15</v>
      </c>
      <c r="D313">
        <v>162</v>
      </c>
      <c r="E313">
        <v>160</v>
      </c>
      <c r="F313">
        <f t="shared" si="15"/>
        <v>2</v>
      </c>
      <c r="G313">
        <f t="shared" si="16"/>
        <v>1.2500000000000001E-2</v>
      </c>
      <c r="H313" t="s">
        <v>9</v>
      </c>
    </row>
    <row r="314" spans="1:8">
      <c r="A314">
        <v>2023</v>
      </c>
      <c r="B314">
        <v>5</v>
      </c>
      <c r="C314" t="s">
        <v>16</v>
      </c>
      <c r="D314">
        <v>37</v>
      </c>
      <c r="E314">
        <v>32</v>
      </c>
      <c r="F314">
        <f t="shared" si="15"/>
        <v>5</v>
      </c>
      <c r="G314">
        <f t="shared" si="16"/>
        <v>0.15625</v>
      </c>
      <c r="H314" t="s">
        <v>9</v>
      </c>
    </row>
    <row r="315" spans="1:8">
      <c r="A315">
        <v>2023</v>
      </c>
      <c r="B315">
        <v>5</v>
      </c>
      <c r="C315" t="s">
        <v>17</v>
      </c>
      <c r="D315">
        <v>41</v>
      </c>
      <c r="E315">
        <v>37</v>
      </c>
      <c r="F315">
        <f t="shared" si="15"/>
        <v>4</v>
      </c>
      <c r="G315">
        <f t="shared" si="16"/>
        <v>0.10810810810810811</v>
      </c>
      <c r="H315" t="s">
        <v>9</v>
      </c>
    </row>
    <row r="316" spans="1:8">
      <c r="A316">
        <v>2023</v>
      </c>
      <c r="B316">
        <v>5</v>
      </c>
      <c r="C316" t="s">
        <v>18</v>
      </c>
      <c r="D316">
        <v>65</v>
      </c>
      <c r="E316">
        <v>63</v>
      </c>
      <c r="F316">
        <f t="shared" si="15"/>
        <v>2</v>
      </c>
      <c r="G316">
        <f t="shared" si="16"/>
        <v>3.1746031746031744E-2</v>
      </c>
      <c r="H316" t="s">
        <v>9</v>
      </c>
    </row>
    <row r="317" spans="1:8">
      <c r="A317">
        <v>2023</v>
      </c>
      <c r="B317">
        <v>5</v>
      </c>
      <c r="C317" t="s">
        <v>19</v>
      </c>
      <c r="D317">
        <v>79</v>
      </c>
      <c r="E317">
        <v>74</v>
      </c>
      <c r="F317">
        <f t="shared" si="15"/>
        <v>5</v>
      </c>
      <c r="G317">
        <f t="shared" si="16"/>
        <v>6.7567567567567571E-2</v>
      </c>
      <c r="H317" t="s">
        <v>9</v>
      </c>
    </row>
    <row r="318" spans="1:8">
      <c r="A318">
        <v>2023</v>
      </c>
      <c r="B318">
        <v>5</v>
      </c>
      <c r="C318" t="s">
        <v>20</v>
      </c>
      <c r="D318">
        <v>29</v>
      </c>
      <c r="E318">
        <v>29</v>
      </c>
      <c r="F318">
        <f t="shared" si="15"/>
        <v>0</v>
      </c>
      <c r="G318">
        <f t="shared" si="16"/>
        <v>0</v>
      </c>
      <c r="H318" t="s">
        <v>9</v>
      </c>
    </row>
    <row r="319" spans="1:8">
      <c r="A319">
        <v>2023</v>
      </c>
      <c r="B319">
        <v>5</v>
      </c>
      <c r="C319" t="s">
        <v>21</v>
      </c>
      <c r="D319">
        <v>114</v>
      </c>
      <c r="E319">
        <v>122</v>
      </c>
      <c r="F319">
        <f t="shared" si="15"/>
        <v>-8</v>
      </c>
      <c r="G319">
        <f t="shared" si="16"/>
        <v>-6.5573770491803282E-2</v>
      </c>
      <c r="H319" t="s">
        <v>9</v>
      </c>
    </row>
    <row r="320" spans="1:8">
      <c r="A320">
        <v>2023</v>
      </c>
      <c r="B320">
        <v>5</v>
      </c>
      <c r="C320" t="s">
        <v>22</v>
      </c>
      <c r="D320">
        <v>22</v>
      </c>
      <c r="E320">
        <v>24</v>
      </c>
      <c r="F320">
        <f t="shared" si="15"/>
        <v>-2</v>
      </c>
      <c r="G320">
        <f t="shared" si="16"/>
        <v>-8.3333333333333329E-2</v>
      </c>
      <c r="H320" t="s">
        <v>9</v>
      </c>
    </row>
    <row r="321" spans="1:8">
      <c r="A321">
        <v>2023</v>
      </c>
      <c r="B321">
        <v>5</v>
      </c>
      <c r="C321" t="s">
        <v>23</v>
      </c>
      <c r="D321">
        <v>34</v>
      </c>
      <c r="E321">
        <v>27</v>
      </c>
      <c r="F321">
        <f t="shared" si="15"/>
        <v>7</v>
      </c>
      <c r="G321">
        <f t="shared" si="16"/>
        <v>0.25925925925925924</v>
      </c>
      <c r="H321" t="s">
        <v>9</v>
      </c>
    </row>
    <row r="322" spans="1:8">
      <c r="A322">
        <v>2023</v>
      </c>
      <c r="B322">
        <v>5</v>
      </c>
      <c r="C322" t="s">
        <v>24</v>
      </c>
      <c r="D322">
        <v>64</v>
      </c>
      <c r="E322">
        <v>60</v>
      </c>
      <c r="F322">
        <f t="shared" si="15"/>
        <v>4</v>
      </c>
      <c r="G322">
        <f t="shared" si="16"/>
        <v>6.6666666666666666E-2</v>
      </c>
      <c r="H322" t="s">
        <v>9</v>
      </c>
    </row>
    <row r="323" spans="1:8">
      <c r="A323">
        <v>2023</v>
      </c>
      <c r="B323">
        <v>5</v>
      </c>
      <c r="C323" t="s">
        <v>25</v>
      </c>
      <c r="D323">
        <v>78</v>
      </c>
      <c r="E323">
        <v>86</v>
      </c>
      <c r="F323">
        <f t="shared" si="15"/>
        <v>-8</v>
      </c>
      <c r="G323">
        <f t="shared" si="16"/>
        <v>-9.3023255813953487E-2</v>
      </c>
      <c r="H323" t="s">
        <v>9</v>
      </c>
    </row>
    <row r="324" spans="1:8">
      <c r="A324">
        <v>2023</v>
      </c>
      <c r="B324">
        <v>5</v>
      </c>
      <c r="C324" t="s">
        <v>26</v>
      </c>
      <c r="D324">
        <v>60</v>
      </c>
      <c r="E324">
        <v>65</v>
      </c>
      <c r="F324">
        <f t="shared" si="15"/>
        <v>-5</v>
      </c>
      <c r="G324">
        <f t="shared" si="16"/>
        <v>-7.6923076923076927E-2</v>
      </c>
      <c r="H324" t="s">
        <v>9</v>
      </c>
    </row>
    <row r="325" spans="1:8">
      <c r="A325">
        <v>2023</v>
      </c>
      <c r="B325">
        <v>5</v>
      </c>
      <c r="C325" t="s">
        <v>27</v>
      </c>
      <c r="D325">
        <v>113</v>
      </c>
      <c r="E325">
        <v>108</v>
      </c>
      <c r="F325">
        <f t="shared" si="15"/>
        <v>5</v>
      </c>
      <c r="G325">
        <f t="shared" si="16"/>
        <v>4.6296296296296294E-2</v>
      </c>
      <c r="H325" t="s">
        <v>9</v>
      </c>
    </row>
    <row r="326" spans="1:8">
      <c r="A326">
        <v>2023</v>
      </c>
      <c r="B326">
        <v>5</v>
      </c>
      <c r="C326" t="s">
        <v>28</v>
      </c>
      <c r="D326">
        <v>34</v>
      </c>
      <c r="E326">
        <v>37</v>
      </c>
      <c r="F326">
        <f t="shared" si="15"/>
        <v>-3</v>
      </c>
      <c r="G326">
        <f t="shared" si="16"/>
        <v>-8.1081081081081086E-2</v>
      </c>
      <c r="H326" t="s">
        <v>9</v>
      </c>
    </row>
    <row r="327" spans="1:8">
      <c r="A327">
        <v>2023</v>
      </c>
      <c r="B327">
        <v>5</v>
      </c>
      <c r="C327" t="s">
        <v>29</v>
      </c>
      <c r="D327">
        <v>45</v>
      </c>
      <c r="E327">
        <v>46</v>
      </c>
      <c r="F327">
        <f t="shared" si="15"/>
        <v>-1</v>
      </c>
      <c r="G327">
        <f t="shared" si="16"/>
        <v>-2.1739130434782608E-2</v>
      </c>
      <c r="H327" t="s">
        <v>9</v>
      </c>
    </row>
    <row r="328" spans="1:8">
      <c r="A328">
        <v>2023</v>
      </c>
      <c r="B328">
        <v>5</v>
      </c>
      <c r="C328" t="s">
        <v>30</v>
      </c>
      <c r="D328">
        <v>81</v>
      </c>
      <c r="E328">
        <v>99</v>
      </c>
      <c r="F328">
        <f t="shared" si="15"/>
        <v>-18</v>
      </c>
      <c r="G328">
        <f t="shared" si="16"/>
        <v>-0.18181818181818182</v>
      </c>
      <c r="H328" t="s">
        <v>9</v>
      </c>
    </row>
    <row r="329" spans="1:8">
      <c r="A329">
        <v>2023</v>
      </c>
      <c r="B329">
        <v>5</v>
      </c>
      <c r="C329" t="s">
        <v>31</v>
      </c>
      <c r="D329">
        <v>49</v>
      </c>
      <c r="E329">
        <v>45</v>
      </c>
      <c r="F329">
        <f t="shared" si="15"/>
        <v>4</v>
      </c>
      <c r="G329">
        <f t="shared" si="16"/>
        <v>8.8888888888888892E-2</v>
      </c>
      <c r="H329" t="s">
        <v>9</v>
      </c>
    </row>
    <row r="330" spans="1:8">
      <c r="A330">
        <v>2023</v>
      </c>
      <c r="B330">
        <v>5</v>
      </c>
      <c r="C330" t="s">
        <v>32</v>
      </c>
      <c r="D330">
        <v>59</v>
      </c>
      <c r="E330">
        <v>37</v>
      </c>
      <c r="F330">
        <f t="shared" si="15"/>
        <v>22</v>
      </c>
      <c r="G330">
        <f t="shared" si="16"/>
        <v>0.59459459459459463</v>
      </c>
      <c r="H330" t="s">
        <v>9</v>
      </c>
    </row>
    <row r="331" spans="1:8">
      <c r="A331">
        <v>2023</v>
      </c>
      <c r="B331">
        <v>5</v>
      </c>
      <c r="C331" t="s">
        <v>33</v>
      </c>
      <c r="D331">
        <v>31</v>
      </c>
      <c r="E331">
        <v>32</v>
      </c>
      <c r="F331">
        <f t="shared" si="15"/>
        <v>-1</v>
      </c>
      <c r="G331">
        <f t="shared" si="16"/>
        <v>-3.125E-2</v>
      </c>
      <c r="H331" t="s">
        <v>9</v>
      </c>
    </row>
    <row r="332" spans="1:8">
      <c r="A332">
        <v>2023</v>
      </c>
      <c r="B332">
        <v>5</v>
      </c>
      <c r="C332" t="s">
        <v>35</v>
      </c>
      <c r="D332">
        <v>31</v>
      </c>
      <c r="E332">
        <v>0</v>
      </c>
      <c r="F332">
        <f t="shared" si="15"/>
        <v>31</v>
      </c>
      <c r="G332" t="e">
        <f t="shared" si="16"/>
        <v>#DIV/0!</v>
      </c>
      <c r="H332" t="s">
        <v>9</v>
      </c>
    </row>
    <row r="333" spans="1:8">
      <c r="A333">
        <v>2023</v>
      </c>
      <c r="B333">
        <v>5</v>
      </c>
      <c r="C333" t="s">
        <v>15</v>
      </c>
      <c r="D333">
        <v>65</v>
      </c>
      <c r="E333">
        <v>60</v>
      </c>
      <c r="F333">
        <f t="shared" si="15"/>
        <v>5</v>
      </c>
      <c r="G333">
        <f t="shared" si="16"/>
        <v>8.3333333333333329E-2</v>
      </c>
      <c r="H333" t="s">
        <v>34</v>
      </c>
    </row>
    <row r="334" spans="1:8">
      <c r="A334">
        <v>2023</v>
      </c>
      <c r="B334">
        <v>6</v>
      </c>
      <c r="C334" t="s">
        <v>8</v>
      </c>
      <c r="D334">
        <f>VLOOKUP(C334,[1]FP!$C:$O,13,)</f>
        <v>12</v>
      </c>
      <c r="E334">
        <f>VLOOKUP(C334,[1]FP!$C:$K,9,)</f>
        <v>10</v>
      </c>
      <c r="F334">
        <f t="shared" si="15"/>
        <v>2</v>
      </c>
      <c r="G334">
        <f t="shared" si="16"/>
        <v>0.2</v>
      </c>
      <c r="H334" t="s">
        <v>9</v>
      </c>
    </row>
    <row r="335" spans="1:8">
      <c r="A335">
        <v>2023</v>
      </c>
      <c r="B335">
        <v>6</v>
      </c>
      <c r="C335" t="s">
        <v>10</v>
      </c>
      <c r="D335">
        <f>VLOOKUP(C335,[1]FP!$C:$O,13,)</f>
        <v>45</v>
      </c>
      <c r="E335">
        <f>VLOOKUP(C335,[1]FP!$C:$K,9,)</f>
        <v>38</v>
      </c>
      <c r="F335">
        <f t="shared" si="15"/>
        <v>7</v>
      </c>
      <c r="G335">
        <f t="shared" si="16"/>
        <v>0.18421052631578946</v>
      </c>
      <c r="H335" t="s">
        <v>9</v>
      </c>
    </row>
    <row r="336" spans="1:8">
      <c r="A336">
        <v>2023</v>
      </c>
      <c r="B336">
        <v>6</v>
      </c>
      <c r="C336" t="s">
        <v>11</v>
      </c>
      <c r="D336">
        <f>VLOOKUP(C336,[1]FP!$C:$O,13,)</f>
        <v>46</v>
      </c>
      <c r="E336">
        <f>VLOOKUP(C336,[1]FP!$C:$K,9,)</f>
        <v>42</v>
      </c>
      <c r="F336">
        <f t="shared" si="15"/>
        <v>4</v>
      </c>
      <c r="G336">
        <f t="shared" si="16"/>
        <v>9.5238095238095233E-2</v>
      </c>
      <c r="H336" t="s">
        <v>9</v>
      </c>
    </row>
    <row r="337" spans="1:8">
      <c r="A337">
        <v>2023</v>
      </c>
      <c r="B337">
        <v>6</v>
      </c>
      <c r="C337" t="s">
        <v>12</v>
      </c>
      <c r="D337">
        <f>VLOOKUP(C337,[1]FP!$C:$O,13,)</f>
        <v>70</v>
      </c>
      <c r="E337">
        <f>VLOOKUP(C337,[1]FP!$C:$K,9,)</f>
        <v>65</v>
      </c>
      <c r="F337">
        <f t="shared" si="15"/>
        <v>5</v>
      </c>
      <c r="G337">
        <f t="shared" si="16"/>
        <v>7.6923076923076927E-2</v>
      </c>
      <c r="H337" t="s">
        <v>9</v>
      </c>
    </row>
    <row r="338" spans="1:8">
      <c r="A338">
        <v>2023</v>
      </c>
      <c r="B338">
        <v>6</v>
      </c>
      <c r="C338" t="s">
        <v>13</v>
      </c>
      <c r="D338">
        <f>VLOOKUP(C338,[1]FP!$C:$O,13,)</f>
        <v>16</v>
      </c>
      <c r="E338">
        <f>VLOOKUP(C338,[1]FP!$C:$K,9,)</f>
        <v>15</v>
      </c>
      <c r="F338">
        <f t="shared" si="15"/>
        <v>1</v>
      </c>
      <c r="G338">
        <f t="shared" si="16"/>
        <v>6.6666666666666666E-2</v>
      </c>
      <c r="H338" t="s">
        <v>9</v>
      </c>
    </row>
    <row r="339" spans="1:8">
      <c r="A339">
        <v>2023</v>
      </c>
      <c r="B339">
        <v>6</v>
      </c>
      <c r="C339" t="s">
        <v>14</v>
      </c>
      <c r="D339">
        <f>VLOOKUP(C339,[1]FP!$C:$O,13,)</f>
        <v>263</v>
      </c>
      <c r="E339">
        <f>VLOOKUP(C339,[1]FP!$C:$K,9,)</f>
        <v>263</v>
      </c>
      <c r="F339">
        <f t="shared" si="15"/>
        <v>0</v>
      </c>
      <c r="G339">
        <f t="shared" si="16"/>
        <v>0</v>
      </c>
      <c r="H339" t="s">
        <v>9</v>
      </c>
    </row>
    <row r="340" spans="1:8">
      <c r="A340">
        <v>2023</v>
      </c>
      <c r="B340">
        <v>6</v>
      </c>
      <c r="C340" t="s">
        <v>15</v>
      </c>
      <c r="D340">
        <v>162</v>
      </c>
      <c r="E340">
        <v>155</v>
      </c>
      <c r="F340">
        <f t="shared" si="15"/>
        <v>7</v>
      </c>
      <c r="G340">
        <f t="shared" si="16"/>
        <v>4.5161290322580643E-2</v>
      </c>
      <c r="H340" t="s">
        <v>9</v>
      </c>
    </row>
    <row r="341" spans="1:8">
      <c r="A341">
        <v>2023</v>
      </c>
      <c r="B341">
        <v>6</v>
      </c>
      <c r="C341" t="s">
        <v>16</v>
      </c>
      <c r="D341">
        <f>VLOOKUP(C341,[1]FP!$C:$O,13,)</f>
        <v>37</v>
      </c>
      <c r="E341">
        <f>VLOOKUP(C341,[1]FP!$C:$K,9,)</f>
        <v>32</v>
      </c>
      <c r="F341">
        <f t="shared" si="15"/>
        <v>5</v>
      </c>
      <c r="G341">
        <f t="shared" si="16"/>
        <v>0.15625</v>
      </c>
      <c r="H341" t="s">
        <v>9</v>
      </c>
    </row>
    <row r="342" spans="1:8">
      <c r="A342">
        <v>2023</v>
      </c>
      <c r="B342">
        <v>6</v>
      </c>
      <c r="C342" t="s">
        <v>17</v>
      </c>
      <c r="D342">
        <f>VLOOKUP(C342,[1]FP!$C:$O,13,)</f>
        <v>41</v>
      </c>
      <c r="E342">
        <f>VLOOKUP(C342,[1]FP!$C:$K,9,)</f>
        <v>38</v>
      </c>
      <c r="F342">
        <f t="shared" si="15"/>
        <v>3</v>
      </c>
      <c r="G342">
        <f t="shared" si="16"/>
        <v>7.8947368421052627E-2</v>
      </c>
      <c r="H342" t="s">
        <v>9</v>
      </c>
    </row>
    <row r="343" spans="1:8">
      <c r="A343">
        <v>2023</v>
      </c>
      <c r="B343">
        <v>6</v>
      </c>
      <c r="C343" t="s">
        <v>18</v>
      </c>
      <c r="D343">
        <f>VLOOKUP(C343,[1]FP!$C:$O,13,)</f>
        <v>57</v>
      </c>
      <c r="E343">
        <f>VLOOKUP(C343,[1]FP!$C:$K,9,)</f>
        <v>63</v>
      </c>
      <c r="F343">
        <f t="shared" si="15"/>
        <v>-6</v>
      </c>
      <c r="G343">
        <f t="shared" si="16"/>
        <v>-9.5238095238095233E-2</v>
      </c>
      <c r="H343" t="s">
        <v>9</v>
      </c>
    </row>
    <row r="344" spans="1:8">
      <c r="A344">
        <v>2023</v>
      </c>
      <c r="B344">
        <v>6</v>
      </c>
      <c r="C344" t="s">
        <v>19</v>
      </c>
      <c r="D344">
        <f>VLOOKUP(C344,[1]FP!$C:$O,13,)</f>
        <v>80</v>
      </c>
      <c r="E344">
        <f>VLOOKUP(C344,[1]FP!$C:$K,9,)</f>
        <v>73</v>
      </c>
      <c r="F344">
        <f t="shared" si="15"/>
        <v>7</v>
      </c>
      <c r="G344">
        <f t="shared" si="16"/>
        <v>9.5890410958904104E-2</v>
      </c>
      <c r="H344" t="s">
        <v>9</v>
      </c>
    </row>
    <row r="345" spans="1:8">
      <c r="A345">
        <v>2023</v>
      </c>
      <c r="B345">
        <v>6</v>
      </c>
      <c r="C345" t="s">
        <v>20</v>
      </c>
      <c r="D345">
        <f>VLOOKUP(C345,[1]FP!$C:$O,13,)</f>
        <v>30</v>
      </c>
      <c r="E345">
        <f>VLOOKUP(C345,[1]FP!$C:$K,9,)</f>
        <v>29</v>
      </c>
      <c r="F345">
        <f t="shared" si="15"/>
        <v>1</v>
      </c>
      <c r="G345">
        <f t="shared" si="16"/>
        <v>3.4482758620689655E-2</v>
      </c>
      <c r="H345" t="s">
        <v>9</v>
      </c>
    </row>
    <row r="346" spans="1:8">
      <c r="A346">
        <v>2023</v>
      </c>
      <c r="B346">
        <v>6</v>
      </c>
      <c r="C346" t="s">
        <v>21</v>
      </c>
      <c r="D346">
        <f>VLOOKUP(C346,[1]FP!$C:$O,13,)</f>
        <v>117</v>
      </c>
      <c r="E346">
        <f>VLOOKUP(C346,[1]FP!$C:$K,9,)</f>
        <v>122</v>
      </c>
      <c r="F346">
        <f t="shared" si="15"/>
        <v>-5</v>
      </c>
      <c r="G346">
        <f t="shared" si="16"/>
        <v>-4.0983606557377046E-2</v>
      </c>
      <c r="H346" t="s">
        <v>9</v>
      </c>
    </row>
    <row r="347" spans="1:8">
      <c r="A347">
        <v>2023</v>
      </c>
      <c r="B347">
        <v>6</v>
      </c>
      <c r="C347" t="s">
        <v>22</v>
      </c>
      <c r="D347">
        <f>VLOOKUP(C347,[1]FP!$C:$O,13,)</f>
        <v>21</v>
      </c>
      <c r="E347">
        <f>VLOOKUP(C347,[1]FP!$C:$K,9,)</f>
        <v>23</v>
      </c>
      <c r="F347">
        <f t="shared" si="15"/>
        <v>-2</v>
      </c>
      <c r="G347">
        <f t="shared" si="16"/>
        <v>-8.6956521739130432E-2</v>
      </c>
      <c r="H347" t="s">
        <v>9</v>
      </c>
    </row>
    <row r="348" spans="1:8">
      <c r="A348">
        <v>2023</v>
      </c>
      <c r="B348">
        <v>6</v>
      </c>
      <c r="C348" t="s">
        <v>23</v>
      </c>
      <c r="D348">
        <f>VLOOKUP(C348,[1]FP!$C:$O,13,)</f>
        <v>35</v>
      </c>
      <c r="E348">
        <f>VLOOKUP(C348,[1]FP!$C:$K,9,)</f>
        <v>28</v>
      </c>
      <c r="F348">
        <f t="shared" si="15"/>
        <v>7</v>
      </c>
      <c r="G348">
        <f t="shared" si="16"/>
        <v>0.25</v>
      </c>
      <c r="H348" t="s">
        <v>9</v>
      </c>
    </row>
    <row r="349" spans="1:8">
      <c r="A349">
        <v>2023</v>
      </c>
      <c r="B349">
        <v>6</v>
      </c>
      <c r="C349" t="s">
        <v>24</v>
      </c>
      <c r="D349">
        <f>VLOOKUP(C349,[1]FP!$C:$O,13,)</f>
        <v>64</v>
      </c>
      <c r="E349">
        <f>VLOOKUP(C349,[1]FP!$C:$K,9,)</f>
        <v>60</v>
      </c>
      <c r="F349">
        <f t="shared" si="15"/>
        <v>4</v>
      </c>
      <c r="G349">
        <f t="shared" si="16"/>
        <v>6.6666666666666666E-2</v>
      </c>
      <c r="H349" t="s">
        <v>9</v>
      </c>
    </row>
    <row r="350" spans="1:8">
      <c r="A350">
        <v>2023</v>
      </c>
      <c r="B350">
        <v>6</v>
      </c>
      <c r="C350" t="s">
        <v>25</v>
      </c>
      <c r="D350">
        <f>VLOOKUP(C350,[1]FP!$C:$O,13,)</f>
        <v>76</v>
      </c>
      <c r="E350">
        <f>VLOOKUP(C350,[1]FP!$C:$K,9,)</f>
        <v>84</v>
      </c>
      <c r="F350">
        <f t="shared" si="15"/>
        <v>-8</v>
      </c>
      <c r="G350">
        <f t="shared" si="16"/>
        <v>-9.5238095238095233E-2</v>
      </c>
      <c r="H350" t="s">
        <v>9</v>
      </c>
    </row>
    <row r="351" spans="1:8">
      <c r="A351">
        <v>2023</v>
      </c>
      <c r="B351">
        <v>6</v>
      </c>
      <c r="C351" t="s">
        <v>26</v>
      </c>
      <c r="D351">
        <f>VLOOKUP(C351,[1]FP!$C:$O,13,)</f>
        <v>60</v>
      </c>
      <c r="E351">
        <f>VLOOKUP(C351,[1]FP!$C:$K,9,)</f>
        <v>68</v>
      </c>
      <c r="F351">
        <f t="shared" si="15"/>
        <v>-8</v>
      </c>
      <c r="G351">
        <f t="shared" si="16"/>
        <v>-0.11764705882352941</v>
      </c>
      <c r="H351" t="s">
        <v>9</v>
      </c>
    </row>
    <row r="352" spans="1:8">
      <c r="A352">
        <v>2023</v>
      </c>
      <c r="B352">
        <v>6</v>
      </c>
      <c r="C352" t="s">
        <v>27</v>
      </c>
      <c r="D352">
        <f>VLOOKUP(C352,[1]FP!$C:$O,13,)</f>
        <v>114</v>
      </c>
      <c r="E352">
        <f>VLOOKUP(C352,[1]FP!$C:$K,9,)</f>
        <v>109</v>
      </c>
      <c r="F352">
        <f t="shared" si="15"/>
        <v>5</v>
      </c>
      <c r="G352">
        <f t="shared" si="16"/>
        <v>4.5871559633027525E-2</v>
      </c>
      <c r="H352" t="s">
        <v>9</v>
      </c>
    </row>
    <row r="353" spans="1:8">
      <c r="A353">
        <v>2023</v>
      </c>
      <c r="B353">
        <v>6</v>
      </c>
      <c r="C353" t="s">
        <v>28</v>
      </c>
      <c r="D353">
        <f>VLOOKUP(C353,[1]FP!$C:$O,13,)</f>
        <v>38</v>
      </c>
      <c r="E353">
        <f>VLOOKUP(C353,[1]FP!$C:$K,9,)</f>
        <v>38</v>
      </c>
      <c r="F353">
        <f t="shared" si="15"/>
        <v>0</v>
      </c>
      <c r="G353">
        <f t="shared" si="16"/>
        <v>0</v>
      </c>
      <c r="H353" t="s">
        <v>9</v>
      </c>
    </row>
    <row r="354" spans="1:8">
      <c r="A354">
        <v>2023</v>
      </c>
      <c r="B354">
        <v>6</v>
      </c>
      <c r="C354" t="s">
        <v>29</v>
      </c>
      <c r="D354">
        <f>VLOOKUP(C354,[1]FP!$C:$O,13,)</f>
        <v>45</v>
      </c>
      <c r="E354">
        <f>VLOOKUP(C354,[1]FP!$C:$K,9,)</f>
        <v>45</v>
      </c>
      <c r="F354">
        <f t="shared" si="15"/>
        <v>0</v>
      </c>
      <c r="G354">
        <f t="shared" si="16"/>
        <v>0</v>
      </c>
      <c r="H354" t="s">
        <v>9</v>
      </c>
    </row>
    <row r="355" spans="1:8">
      <c r="A355">
        <v>2023</v>
      </c>
      <c r="B355">
        <v>6</v>
      </c>
      <c r="C355" t="s">
        <v>30</v>
      </c>
      <c r="D355">
        <f>VLOOKUP(C355,[1]FP!$C:$O,13,)</f>
        <v>83</v>
      </c>
      <c r="E355">
        <f>VLOOKUP(C355,[1]FP!$C:$K,9,)</f>
        <v>97</v>
      </c>
      <c r="F355">
        <f t="shared" si="15"/>
        <v>-14</v>
      </c>
      <c r="G355">
        <f t="shared" si="16"/>
        <v>-0.14432989690721648</v>
      </c>
      <c r="H355" t="s">
        <v>9</v>
      </c>
    </row>
    <row r="356" spans="1:8">
      <c r="A356">
        <v>2023</v>
      </c>
      <c r="B356">
        <v>6</v>
      </c>
      <c r="C356" t="s">
        <v>31</v>
      </c>
      <c r="D356">
        <f>VLOOKUP(C356,[1]FP!$C:$O,13,)</f>
        <v>51</v>
      </c>
      <c r="E356">
        <f>VLOOKUP(C356,[1]FP!$C:$K,9,)</f>
        <v>46</v>
      </c>
      <c r="F356">
        <f t="shared" si="15"/>
        <v>5</v>
      </c>
      <c r="G356">
        <f t="shared" si="16"/>
        <v>0.10869565217391304</v>
      </c>
      <c r="H356" t="s">
        <v>9</v>
      </c>
    </row>
    <row r="357" spans="1:8">
      <c r="A357">
        <v>2023</v>
      </c>
      <c r="B357">
        <v>6</v>
      </c>
      <c r="C357" t="s">
        <v>32</v>
      </c>
      <c r="D357">
        <f>VLOOKUP(C357,[1]FP!$C:$O,13,)</f>
        <v>62</v>
      </c>
      <c r="E357">
        <f>VLOOKUP(C357,[1]FP!$C:$K,9,)</f>
        <v>52</v>
      </c>
      <c r="F357">
        <f t="shared" si="15"/>
        <v>10</v>
      </c>
      <c r="G357">
        <f t="shared" si="16"/>
        <v>0.19230769230769232</v>
      </c>
      <c r="H357" t="s">
        <v>9</v>
      </c>
    </row>
    <row r="358" spans="1:8">
      <c r="A358">
        <v>2023</v>
      </c>
      <c r="B358">
        <v>6</v>
      </c>
      <c r="C358" t="s">
        <v>33</v>
      </c>
      <c r="D358">
        <f>VLOOKUP(C358,[1]FP!$C:$O,13,)</f>
        <v>32</v>
      </c>
      <c r="E358">
        <f>VLOOKUP(C358,[1]FP!$C:$K,9,)</f>
        <v>27</v>
      </c>
      <c r="F358">
        <f t="shared" si="15"/>
        <v>5</v>
      </c>
      <c r="G358">
        <f t="shared" si="16"/>
        <v>0.18518518518518517</v>
      </c>
      <c r="H358" t="s">
        <v>9</v>
      </c>
    </row>
    <row r="359" spans="1:8">
      <c r="A359">
        <v>2023</v>
      </c>
      <c r="B359">
        <v>6</v>
      </c>
      <c r="C359" t="s">
        <v>35</v>
      </c>
      <c r="D359">
        <f>VLOOKUP(C359,[1]FP!$C:$O,13,)</f>
        <v>29</v>
      </c>
      <c r="E359">
        <f>VLOOKUP(C359,[1]FP!$C:$K,9,)</f>
        <v>30</v>
      </c>
      <c r="F359">
        <f t="shared" si="15"/>
        <v>-1</v>
      </c>
      <c r="G359">
        <f t="shared" si="16"/>
        <v>-3.3333333333333333E-2</v>
      </c>
      <c r="H359" t="s">
        <v>9</v>
      </c>
    </row>
    <row r="360" spans="1:8">
      <c r="A360">
        <v>2023</v>
      </c>
      <c r="B360">
        <v>7</v>
      </c>
      <c r="C360" t="s">
        <v>8</v>
      </c>
      <c r="D360">
        <v>12</v>
      </c>
      <c r="E360">
        <v>10</v>
      </c>
      <c r="F360">
        <v>2</v>
      </c>
      <c r="G360">
        <f t="shared" si="16"/>
        <v>0.2</v>
      </c>
      <c r="H360" t="s">
        <v>9</v>
      </c>
    </row>
    <row r="361" spans="1:8">
      <c r="A361">
        <v>2023</v>
      </c>
      <c r="B361">
        <v>7</v>
      </c>
      <c r="C361" t="s">
        <v>10</v>
      </c>
      <c r="D361">
        <v>45</v>
      </c>
      <c r="E361">
        <v>38</v>
      </c>
      <c r="F361">
        <v>7</v>
      </c>
      <c r="G361">
        <f t="shared" si="16"/>
        <v>0.18421052631578946</v>
      </c>
      <c r="H361" t="s">
        <v>9</v>
      </c>
    </row>
    <row r="362" spans="1:8">
      <c r="A362">
        <v>2023</v>
      </c>
      <c r="B362">
        <v>7</v>
      </c>
      <c r="C362" t="s">
        <v>11</v>
      </c>
      <c r="D362">
        <v>46</v>
      </c>
      <c r="E362">
        <v>42</v>
      </c>
      <c r="F362">
        <v>4</v>
      </c>
      <c r="G362">
        <f t="shared" si="16"/>
        <v>9.5238095238095233E-2</v>
      </c>
      <c r="H362" t="s">
        <v>9</v>
      </c>
    </row>
    <row r="363" spans="1:8">
      <c r="A363">
        <v>2023</v>
      </c>
      <c r="B363">
        <v>7</v>
      </c>
      <c r="C363" t="s">
        <v>12</v>
      </c>
      <c r="D363">
        <v>70</v>
      </c>
      <c r="E363">
        <v>65</v>
      </c>
      <c r="F363">
        <v>5</v>
      </c>
      <c r="G363">
        <f t="shared" si="16"/>
        <v>7.6923076923076927E-2</v>
      </c>
      <c r="H363" t="s">
        <v>9</v>
      </c>
    </row>
    <row r="364" spans="1:8">
      <c r="A364">
        <v>2023</v>
      </c>
      <c r="B364">
        <v>7</v>
      </c>
      <c r="C364" t="s">
        <v>13</v>
      </c>
      <c r="D364">
        <v>16</v>
      </c>
      <c r="E364">
        <v>15</v>
      </c>
      <c r="F364">
        <v>1</v>
      </c>
      <c r="G364">
        <f t="shared" si="16"/>
        <v>6.6666666666666666E-2</v>
      </c>
      <c r="H364" t="s">
        <v>9</v>
      </c>
    </row>
    <row r="365" spans="1:8">
      <c r="A365">
        <v>2023</v>
      </c>
      <c r="B365">
        <v>7</v>
      </c>
      <c r="C365" t="s">
        <v>14</v>
      </c>
      <c r="D365">
        <v>263</v>
      </c>
      <c r="E365">
        <v>263</v>
      </c>
      <c r="F365">
        <v>0</v>
      </c>
      <c r="G365">
        <f t="shared" si="16"/>
        <v>0</v>
      </c>
      <c r="H365" t="s">
        <v>9</v>
      </c>
    </row>
    <row r="366" spans="1:8">
      <c r="A366">
        <v>2023</v>
      </c>
      <c r="B366">
        <v>7</v>
      </c>
      <c r="C366" t="s">
        <v>15</v>
      </c>
      <c r="D366">
        <v>162</v>
      </c>
      <c r="E366">
        <v>155</v>
      </c>
      <c r="F366">
        <v>7</v>
      </c>
      <c r="G366">
        <f t="shared" si="16"/>
        <v>4.5161290322580643E-2</v>
      </c>
      <c r="H366" t="s">
        <v>9</v>
      </c>
    </row>
    <row r="367" spans="1:8">
      <c r="A367">
        <v>2023</v>
      </c>
      <c r="B367">
        <v>7</v>
      </c>
      <c r="C367" t="s">
        <v>16</v>
      </c>
      <c r="D367">
        <v>37</v>
      </c>
      <c r="E367">
        <v>32</v>
      </c>
      <c r="F367">
        <v>5</v>
      </c>
      <c r="G367">
        <f t="shared" si="16"/>
        <v>0.15625</v>
      </c>
      <c r="H367" t="s">
        <v>9</v>
      </c>
    </row>
    <row r="368" spans="1:8">
      <c r="A368">
        <v>2023</v>
      </c>
      <c r="B368">
        <v>7</v>
      </c>
      <c r="C368" t="s">
        <v>17</v>
      </c>
      <c r="D368">
        <v>41</v>
      </c>
      <c r="E368">
        <v>38</v>
      </c>
      <c r="F368">
        <v>3</v>
      </c>
      <c r="G368">
        <f t="shared" si="16"/>
        <v>7.8947368421052627E-2</v>
      </c>
      <c r="H368" t="s">
        <v>9</v>
      </c>
    </row>
    <row r="369" spans="1:8">
      <c r="A369">
        <v>2023</v>
      </c>
      <c r="B369">
        <v>7</v>
      </c>
      <c r="C369" t="s">
        <v>18</v>
      </c>
      <c r="D369">
        <v>57</v>
      </c>
      <c r="E369">
        <v>63</v>
      </c>
      <c r="F369">
        <v>-6</v>
      </c>
      <c r="G369">
        <f t="shared" si="16"/>
        <v>-9.5238095238095233E-2</v>
      </c>
      <c r="H369" t="s">
        <v>9</v>
      </c>
    </row>
    <row r="370" spans="1:8">
      <c r="A370">
        <v>2023</v>
      </c>
      <c r="B370">
        <v>7</v>
      </c>
      <c r="C370" t="s">
        <v>19</v>
      </c>
      <c r="D370">
        <v>80</v>
      </c>
      <c r="E370">
        <v>73</v>
      </c>
      <c r="F370">
        <v>7</v>
      </c>
      <c r="G370">
        <f t="shared" si="16"/>
        <v>9.5890410958904104E-2</v>
      </c>
      <c r="H370" t="s">
        <v>9</v>
      </c>
    </row>
    <row r="371" spans="1:8">
      <c r="A371">
        <v>2023</v>
      </c>
      <c r="B371">
        <v>7</v>
      </c>
      <c r="C371" t="s">
        <v>20</v>
      </c>
      <c r="D371">
        <v>30</v>
      </c>
      <c r="E371">
        <v>29</v>
      </c>
      <c r="F371">
        <v>1</v>
      </c>
      <c r="G371">
        <f t="shared" si="16"/>
        <v>3.4482758620689655E-2</v>
      </c>
      <c r="H371" t="s">
        <v>9</v>
      </c>
    </row>
    <row r="372" spans="1:8">
      <c r="A372">
        <v>2023</v>
      </c>
      <c r="B372">
        <v>7</v>
      </c>
      <c r="C372" t="s">
        <v>21</v>
      </c>
      <c r="D372">
        <v>117</v>
      </c>
      <c r="E372">
        <v>122</v>
      </c>
      <c r="F372">
        <v>-5</v>
      </c>
      <c r="G372">
        <f t="shared" ref="G372:G435" si="17">F372/E372</f>
        <v>-4.0983606557377046E-2</v>
      </c>
      <c r="H372" t="s">
        <v>9</v>
      </c>
    </row>
    <row r="373" spans="1:8">
      <c r="A373">
        <v>2023</v>
      </c>
      <c r="B373">
        <v>7</v>
      </c>
      <c r="C373" t="s">
        <v>22</v>
      </c>
      <c r="D373">
        <v>21</v>
      </c>
      <c r="E373">
        <v>23</v>
      </c>
      <c r="F373">
        <v>-2</v>
      </c>
      <c r="G373">
        <f t="shared" si="17"/>
        <v>-8.6956521739130432E-2</v>
      </c>
      <c r="H373" t="s">
        <v>9</v>
      </c>
    </row>
    <row r="374" spans="1:8">
      <c r="A374">
        <v>2023</v>
      </c>
      <c r="B374">
        <v>7</v>
      </c>
      <c r="C374" t="s">
        <v>23</v>
      </c>
      <c r="D374">
        <v>35</v>
      </c>
      <c r="E374">
        <v>28</v>
      </c>
      <c r="F374">
        <v>7</v>
      </c>
      <c r="G374">
        <f t="shared" si="17"/>
        <v>0.25</v>
      </c>
      <c r="H374" t="s">
        <v>9</v>
      </c>
    </row>
    <row r="375" spans="1:8">
      <c r="A375">
        <v>2023</v>
      </c>
      <c r="B375">
        <v>7</v>
      </c>
      <c r="C375" t="s">
        <v>24</v>
      </c>
      <c r="D375">
        <v>64</v>
      </c>
      <c r="E375">
        <v>60</v>
      </c>
      <c r="F375">
        <v>4</v>
      </c>
      <c r="G375">
        <f t="shared" si="17"/>
        <v>6.6666666666666666E-2</v>
      </c>
      <c r="H375" t="s">
        <v>9</v>
      </c>
    </row>
    <row r="376" spans="1:8">
      <c r="A376">
        <v>2023</v>
      </c>
      <c r="B376">
        <v>7</v>
      </c>
      <c r="C376" t="s">
        <v>25</v>
      </c>
      <c r="D376">
        <v>76</v>
      </c>
      <c r="E376">
        <v>84</v>
      </c>
      <c r="F376">
        <v>-8</v>
      </c>
      <c r="G376">
        <f t="shared" si="17"/>
        <v>-9.5238095238095233E-2</v>
      </c>
      <c r="H376" t="s">
        <v>9</v>
      </c>
    </row>
    <row r="377" spans="1:8">
      <c r="A377">
        <v>2023</v>
      </c>
      <c r="B377">
        <v>7</v>
      </c>
      <c r="C377" t="s">
        <v>26</v>
      </c>
      <c r="D377">
        <v>60</v>
      </c>
      <c r="E377">
        <v>68</v>
      </c>
      <c r="F377">
        <v>-8</v>
      </c>
      <c r="G377">
        <f t="shared" si="17"/>
        <v>-0.11764705882352941</v>
      </c>
      <c r="H377" t="s">
        <v>9</v>
      </c>
    </row>
    <row r="378" spans="1:8">
      <c r="A378">
        <v>2023</v>
      </c>
      <c r="B378">
        <v>7</v>
      </c>
      <c r="C378" t="s">
        <v>27</v>
      </c>
      <c r="D378">
        <v>114</v>
      </c>
      <c r="E378">
        <v>109</v>
      </c>
      <c r="F378">
        <v>5</v>
      </c>
      <c r="G378">
        <f t="shared" si="17"/>
        <v>4.5871559633027525E-2</v>
      </c>
      <c r="H378" t="s">
        <v>9</v>
      </c>
    </row>
    <row r="379" spans="1:8">
      <c r="A379">
        <v>2023</v>
      </c>
      <c r="B379">
        <v>7</v>
      </c>
      <c r="C379" t="s">
        <v>28</v>
      </c>
      <c r="D379">
        <v>38</v>
      </c>
      <c r="E379">
        <v>38</v>
      </c>
      <c r="F379">
        <v>0</v>
      </c>
      <c r="G379">
        <f t="shared" si="17"/>
        <v>0</v>
      </c>
      <c r="H379" t="s">
        <v>9</v>
      </c>
    </row>
    <row r="380" spans="1:8">
      <c r="A380">
        <v>2023</v>
      </c>
      <c r="B380">
        <v>7</v>
      </c>
      <c r="C380" t="s">
        <v>29</v>
      </c>
      <c r="D380">
        <v>45</v>
      </c>
      <c r="E380">
        <v>45</v>
      </c>
      <c r="F380">
        <v>0</v>
      </c>
      <c r="G380">
        <f t="shared" si="17"/>
        <v>0</v>
      </c>
      <c r="H380" t="s">
        <v>9</v>
      </c>
    </row>
    <row r="381" spans="1:8">
      <c r="A381">
        <v>2023</v>
      </c>
      <c r="B381">
        <v>7</v>
      </c>
      <c r="C381" t="s">
        <v>30</v>
      </c>
      <c r="D381">
        <v>83</v>
      </c>
      <c r="E381">
        <v>97</v>
      </c>
      <c r="F381">
        <v>-14</v>
      </c>
      <c r="G381">
        <f t="shared" si="17"/>
        <v>-0.14432989690721648</v>
      </c>
      <c r="H381" t="s">
        <v>9</v>
      </c>
    </row>
    <row r="382" spans="1:8">
      <c r="A382">
        <v>2023</v>
      </c>
      <c r="B382">
        <v>7</v>
      </c>
      <c r="C382" t="s">
        <v>31</v>
      </c>
      <c r="D382">
        <v>51</v>
      </c>
      <c r="E382">
        <v>46</v>
      </c>
      <c r="F382">
        <v>5</v>
      </c>
      <c r="G382">
        <f t="shared" si="17"/>
        <v>0.10869565217391304</v>
      </c>
      <c r="H382" t="s">
        <v>9</v>
      </c>
    </row>
    <row r="383" spans="1:8">
      <c r="A383">
        <v>2023</v>
      </c>
      <c r="B383">
        <v>7</v>
      </c>
      <c r="C383" t="s">
        <v>32</v>
      </c>
      <c r="D383">
        <v>62</v>
      </c>
      <c r="E383">
        <v>52</v>
      </c>
      <c r="F383">
        <v>10</v>
      </c>
      <c r="G383">
        <f t="shared" si="17"/>
        <v>0.19230769230769232</v>
      </c>
      <c r="H383" t="s">
        <v>9</v>
      </c>
    </row>
    <row r="384" spans="1:8">
      <c r="A384">
        <v>2023</v>
      </c>
      <c r="B384">
        <v>7</v>
      </c>
      <c r="C384" t="s">
        <v>33</v>
      </c>
      <c r="D384">
        <v>32</v>
      </c>
      <c r="E384">
        <v>27</v>
      </c>
      <c r="F384">
        <v>5</v>
      </c>
      <c r="G384">
        <f t="shared" si="17"/>
        <v>0.18518518518518517</v>
      </c>
      <c r="H384" t="s">
        <v>9</v>
      </c>
    </row>
    <row r="385" spans="1:8">
      <c r="A385">
        <v>2023</v>
      </c>
      <c r="B385">
        <v>7</v>
      </c>
      <c r="C385" t="s">
        <v>35</v>
      </c>
      <c r="D385">
        <v>29</v>
      </c>
      <c r="E385">
        <v>30</v>
      </c>
      <c r="F385">
        <v>-1</v>
      </c>
      <c r="G385">
        <f t="shared" si="17"/>
        <v>-3.3333333333333333E-2</v>
      </c>
      <c r="H385" t="s">
        <v>9</v>
      </c>
    </row>
    <row r="386" spans="1:8">
      <c r="A386">
        <v>2023</v>
      </c>
      <c r="B386">
        <v>8</v>
      </c>
      <c r="C386" t="s">
        <v>8</v>
      </c>
      <c r="D386">
        <v>12</v>
      </c>
      <c r="E386">
        <v>10</v>
      </c>
      <c r="F386">
        <v>2</v>
      </c>
      <c r="G386">
        <f t="shared" si="17"/>
        <v>0.2</v>
      </c>
      <c r="H386" t="s">
        <v>9</v>
      </c>
    </row>
    <row r="387" spans="1:8">
      <c r="A387">
        <v>2023</v>
      </c>
      <c r="B387">
        <v>8</v>
      </c>
      <c r="C387" t="s">
        <v>10</v>
      </c>
      <c r="D387">
        <v>45</v>
      </c>
      <c r="E387">
        <v>38</v>
      </c>
      <c r="F387">
        <v>7</v>
      </c>
      <c r="G387">
        <f t="shared" si="17"/>
        <v>0.18421052631578946</v>
      </c>
      <c r="H387" t="s">
        <v>9</v>
      </c>
    </row>
    <row r="388" spans="1:8">
      <c r="A388">
        <v>2023</v>
      </c>
      <c r="B388">
        <v>8</v>
      </c>
      <c r="C388" t="s">
        <v>11</v>
      </c>
      <c r="D388">
        <v>46</v>
      </c>
      <c r="E388">
        <v>42</v>
      </c>
      <c r="F388">
        <v>4</v>
      </c>
      <c r="G388">
        <f t="shared" si="17"/>
        <v>9.5238095238095233E-2</v>
      </c>
      <c r="H388" t="s">
        <v>9</v>
      </c>
    </row>
    <row r="389" spans="1:8">
      <c r="A389">
        <v>2023</v>
      </c>
      <c r="B389">
        <v>8</v>
      </c>
      <c r="C389" t="s">
        <v>12</v>
      </c>
      <c r="D389">
        <v>70</v>
      </c>
      <c r="E389">
        <v>65</v>
      </c>
      <c r="F389">
        <v>5</v>
      </c>
      <c r="G389">
        <f t="shared" si="17"/>
        <v>7.6923076923076927E-2</v>
      </c>
      <c r="H389" t="s">
        <v>9</v>
      </c>
    </row>
    <row r="390" spans="1:8">
      <c r="A390">
        <v>2023</v>
      </c>
      <c r="B390">
        <v>8</v>
      </c>
      <c r="C390" t="s">
        <v>13</v>
      </c>
      <c r="D390">
        <v>16</v>
      </c>
      <c r="E390">
        <v>15</v>
      </c>
      <c r="F390">
        <v>1</v>
      </c>
      <c r="G390">
        <f t="shared" si="17"/>
        <v>6.6666666666666666E-2</v>
      </c>
      <c r="H390" t="s">
        <v>9</v>
      </c>
    </row>
    <row r="391" spans="1:8">
      <c r="A391">
        <v>2023</v>
      </c>
      <c r="B391">
        <v>8</v>
      </c>
      <c r="C391" t="s">
        <v>14</v>
      </c>
      <c r="D391">
        <v>263</v>
      </c>
      <c r="E391">
        <v>263</v>
      </c>
      <c r="F391">
        <v>0</v>
      </c>
      <c r="G391">
        <f t="shared" si="17"/>
        <v>0</v>
      </c>
      <c r="H391" t="s">
        <v>9</v>
      </c>
    </row>
    <row r="392" spans="1:8">
      <c r="A392">
        <v>2023</v>
      </c>
      <c r="B392">
        <v>8</v>
      </c>
      <c r="C392" t="s">
        <v>15</v>
      </c>
      <c r="D392">
        <v>162</v>
      </c>
      <c r="E392">
        <v>155</v>
      </c>
      <c r="F392">
        <v>7</v>
      </c>
      <c r="G392">
        <f t="shared" si="17"/>
        <v>4.5161290322580643E-2</v>
      </c>
      <c r="H392" t="s">
        <v>9</v>
      </c>
    </row>
    <row r="393" spans="1:8">
      <c r="A393">
        <v>2023</v>
      </c>
      <c r="B393">
        <v>8</v>
      </c>
      <c r="C393" t="s">
        <v>16</v>
      </c>
      <c r="D393">
        <v>37</v>
      </c>
      <c r="E393">
        <v>32</v>
      </c>
      <c r="F393">
        <v>5</v>
      </c>
      <c r="G393">
        <f t="shared" si="17"/>
        <v>0.15625</v>
      </c>
      <c r="H393" t="s">
        <v>9</v>
      </c>
    </row>
    <row r="394" spans="1:8">
      <c r="A394">
        <v>2023</v>
      </c>
      <c r="B394">
        <v>8</v>
      </c>
      <c r="C394" t="s">
        <v>17</v>
      </c>
      <c r="D394">
        <v>41</v>
      </c>
      <c r="E394">
        <v>38</v>
      </c>
      <c r="F394">
        <v>3</v>
      </c>
      <c r="G394">
        <f t="shared" si="17"/>
        <v>7.8947368421052627E-2</v>
      </c>
      <c r="H394" t="s">
        <v>9</v>
      </c>
    </row>
    <row r="395" spans="1:8">
      <c r="A395">
        <v>2023</v>
      </c>
      <c r="B395">
        <v>8</v>
      </c>
      <c r="C395" t="s">
        <v>18</v>
      </c>
      <c r="D395">
        <v>57</v>
      </c>
      <c r="E395">
        <v>63</v>
      </c>
      <c r="F395">
        <v>-6</v>
      </c>
      <c r="G395">
        <f t="shared" si="17"/>
        <v>-9.5238095238095233E-2</v>
      </c>
      <c r="H395" t="s">
        <v>9</v>
      </c>
    </row>
    <row r="396" spans="1:8">
      <c r="A396">
        <v>2023</v>
      </c>
      <c r="B396">
        <v>8</v>
      </c>
      <c r="C396" t="s">
        <v>19</v>
      </c>
      <c r="D396">
        <v>80</v>
      </c>
      <c r="E396">
        <v>73</v>
      </c>
      <c r="F396">
        <v>7</v>
      </c>
      <c r="G396">
        <f t="shared" si="17"/>
        <v>9.5890410958904104E-2</v>
      </c>
      <c r="H396" t="s">
        <v>9</v>
      </c>
    </row>
    <row r="397" spans="1:8">
      <c r="A397">
        <v>2023</v>
      </c>
      <c r="B397">
        <v>8</v>
      </c>
      <c r="C397" t="s">
        <v>20</v>
      </c>
      <c r="D397">
        <v>30</v>
      </c>
      <c r="E397">
        <v>29</v>
      </c>
      <c r="F397">
        <v>1</v>
      </c>
      <c r="G397">
        <f t="shared" si="17"/>
        <v>3.4482758620689655E-2</v>
      </c>
      <c r="H397" t="s">
        <v>9</v>
      </c>
    </row>
    <row r="398" spans="1:8">
      <c r="A398">
        <v>2023</v>
      </c>
      <c r="B398">
        <v>8</v>
      </c>
      <c r="C398" t="s">
        <v>21</v>
      </c>
      <c r="D398">
        <v>117</v>
      </c>
      <c r="E398">
        <v>122</v>
      </c>
      <c r="F398">
        <v>-5</v>
      </c>
      <c r="G398">
        <f t="shared" si="17"/>
        <v>-4.0983606557377046E-2</v>
      </c>
      <c r="H398" t="s">
        <v>9</v>
      </c>
    </row>
    <row r="399" spans="1:8">
      <c r="A399">
        <v>2023</v>
      </c>
      <c r="B399">
        <v>8</v>
      </c>
      <c r="C399" t="s">
        <v>22</v>
      </c>
      <c r="D399">
        <v>21</v>
      </c>
      <c r="E399">
        <v>23</v>
      </c>
      <c r="F399">
        <v>-2</v>
      </c>
      <c r="G399">
        <f t="shared" si="17"/>
        <v>-8.6956521739130432E-2</v>
      </c>
      <c r="H399" t="s">
        <v>9</v>
      </c>
    </row>
    <row r="400" spans="1:8">
      <c r="A400">
        <v>2023</v>
      </c>
      <c r="B400">
        <v>8</v>
      </c>
      <c r="C400" t="s">
        <v>23</v>
      </c>
      <c r="D400">
        <v>35</v>
      </c>
      <c r="E400">
        <v>28</v>
      </c>
      <c r="F400">
        <v>7</v>
      </c>
      <c r="G400">
        <f t="shared" si="17"/>
        <v>0.25</v>
      </c>
      <c r="H400" t="s">
        <v>9</v>
      </c>
    </row>
    <row r="401" spans="1:8">
      <c r="A401">
        <v>2023</v>
      </c>
      <c r="B401">
        <v>8</v>
      </c>
      <c r="C401" t="s">
        <v>24</v>
      </c>
      <c r="D401">
        <v>64</v>
      </c>
      <c r="E401">
        <v>60</v>
      </c>
      <c r="F401">
        <v>4</v>
      </c>
      <c r="G401">
        <f t="shared" si="17"/>
        <v>6.6666666666666666E-2</v>
      </c>
      <c r="H401" t="s">
        <v>9</v>
      </c>
    </row>
    <row r="402" spans="1:8">
      <c r="A402">
        <v>2023</v>
      </c>
      <c r="B402">
        <v>8</v>
      </c>
      <c r="C402" t="s">
        <v>25</v>
      </c>
      <c r="D402">
        <v>76</v>
      </c>
      <c r="E402">
        <v>84</v>
      </c>
      <c r="F402">
        <v>-8</v>
      </c>
      <c r="G402">
        <f t="shared" si="17"/>
        <v>-9.5238095238095233E-2</v>
      </c>
      <c r="H402" t="s">
        <v>9</v>
      </c>
    </row>
    <row r="403" spans="1:8">
      <c r="A403">
        <v>2023</v>
      </c>
      <c r="B403">
        <v>8</v>
      </c>
      <c r="C403" t="s">
        <v>26</v>
      </c>
      <c r="D403">
        <v>60</v>
      </c>
      <c r="E403">
        <v>68</v>
      </c>
      <c r="F403">
        <v>-8</v>
      </c>
      <c r="G403">
        <f t="shared" si="17"/>
        <v>-0.11764705882352941</v>
      </c>
      <c r="H403" t="s">
        <v>9</v>
      </c>
    </row>
    <row r="404" spans="1:8">
      <c r="A404">
        <v>2023</v>
      </c>
      <c r="B404">
        <v>8</v>
      </c>
      <c r="C404" t="s">
        <v>27</v>
      </c>
      <c r="D404">
        <v>114</v>
      </c>
      <c r="E404">
        <v>109</v>
      </c>
      <c r="F404">
        <v>5</v>
      </c>
      <c r="G404">
        <f t="shared" si="17"/>
        <v>4.5871559633027525E-2</v>
      </c>
      <c r="H404" t="s">
        <v>9</v>
      </c>
    </row>
    <row r="405" spans="1:8">
      <c r="A405">
        <v>2023</v>
      </c>
      <c r="B405">
        <v>8</v>
      </c>
      <c r="C405" t="s">
        <v>28</v>
      </c>
      <c r="D405">
        <v>38</v>
      </c>
      <c r="E405">
        <v>38</v>
      </c>
      <c r="F405">
        <v>0</v>
      </c>
      <c r="G405">
        <f t="shared" si="17"/>
        <v>0</v>
      </c>
      <c r="H405" t="s">
        <v>9</v>
      </c>
    </row>
    <row r="406" spans="1:8">
      <c r="A406">
        <v>2023</v>
      </c>
      <c r="B406">
        <v>8</v>
      </c>
      <c r="C406" t="s">
        <v>29</v>
      </c>
      <c r="D406">
        <v>45</v>
      </c>
      <c r="E406">
        <v>45</v>
      </c>
      <c r="F406">
        <v>0</v>
      </c>
      <c r="G406">
        <f t="shared" si="17"/>
        <v>0</v>
      </c>
      <c r="H406" t="s">
        <v>9</v>
      </c>
    </row>
    <row r="407" spans="1:8">
      <c r="A407">
        <v>2023</v>
      </c>
      <c r="B407">
        <v>8</v>
      </c>
      <c r="C407" t="s">
        <v>30</v>
      </c>
      <c r="D407">
        <v>83</v>
      </c>
      <c r="E407">
        <v>97</v>
      </c>
      <c r="F407">
        <v>-14</v>
      </c>
      <c r="G407">
        <f t="shared" si="17"/>
        <v>-0.14432989690721648</v>
      </c>
      <c r="H407" t="s">
        <v>9</v>
      </c>
    </row>
    <row r="408" spans="1:8">
      <c r="A408">
        <v>2023</v>
      </c>
      <c r="B408">
        <v>8</v>
      </c>
      <c r="C408" t="s">
        <v>31</v>
      </c>
      <c r="D408">
        <v>51</v>
      </c>
      <c r="E408">
        <v>46</v>
      </c>
      <c r="F408">
        <v>5</v>
      </c>
      <c r="G408">
        <f t="shared" si="17"/>
        <v>0.10869565217391304</v>
      </c>
      <c r="H408" t="s">
        <v>9</v>
      </c>
    </row>
    <row r="409" spans="1:8">
      <c r="A409">
        <v>2023</v>
      </c>
      <c r="B409">
        <v>8</v>
      </c>
      <c r="C409" t="s">
        <v>32</v>
      </c>
      <c r="D409">
        <v>62</v>
      </c>
      <c r="E409">
        <v>52</v>
      </c>
      <c r="F409">
        <v>10</v>
      </c>
      <c r="G409">
        <f t="shared" si="17"/>
        <v>0.19230769230769232</v>
      </c>
      <c r="H409" t="s">
        <v>9</v>
      </c>
    </row>
    <row r="410" spans="1:8">
      <c r="A410">
        <v>2023</v>
      </c>
      <c r="B410">
        <v>8</v>
      </c>
      <c r="C410" t="s">
        <v>33</v>
      </c>
      <c r="D410">
        <v>32</v>
      </c>
      <c r="E410">
        <v>27</v>
      </c>
      <c r="F410">
        <v>5</v>
      </c>
      <c r="G410">
        <f t="shared" si="17"/>
        <v>0.18518518518518517</v>
      </c>
      <c r="H410" t="s">
        <v>9</v>
      </c>
    </row>
    <row r="411" spans="1:8">
      <c r="A411">
        <v>2023</v>
      </c>
      <c r="B411">
        <v>8</v>
      </c>
      <c r="C411" t="s">
        <v>35</v>
      </c>
      <c r="D411">
        <v>29</v>
      </c>
      <c r="E411">
        <v>30</v>
      </c>
      <c r="F411">
        <v>-1</v>
      </c>
      <c r="G411">
        <f t="shared" si="17"/>
        <v>-3.3333333333333333E-2</v>
      </c>
      <c r="H411" t="s">
        <v>9</v>
      </c>
    </row>
    <row r="412" spans="1:8">
      <c r="A412">
        <v>2023</v>
      </c>
      <c r="B412">
        <v>6</v>
      </c>
      <c r="C412" t="s">
        <v>15</v>
      </c>
      <c r="D412">
        <v>65</v>
      </c>
      <c r="E412">
        <v>61</v>
      </c>
      <c r="F412">
        <f t="shared" ref="F412:F475" si="18">D412-E412</f>
        <v>4</v>
      </c>
      <c r="G412">
        <f t="shared" si="17"/>
        <v>6.5573770491803282E-2</v>
      </c>
      <c r="H412" t="s">
        <v>34</v>
      </c>
    </row>
    <row r="413" spans="1:8">
      <c r="A413">
        <v>2023</v>
      </c>
      <c r="B413">
        <v>7</v>
      </c>
      <c r="C413" t="s">
        <v>15</v>
      </c>
      <c r="D413">
        <v>65</v>
      </c>
      <c r="E413">
        <v>61</v>
      </c>
      <c r="F413">
        <f t="shared" si="18"/>
        <v>4</v>
      </c>
      <c r="G413">
        <f t="shared" si="17"/>
        <v>6.5573770491803282E-2</v>
      </c>
      <c r="H413" t="s">
        <v>34</v>
      </c>
    </row>
    <row r="414" spans="1:8">
      <c r="A414">
        <v>2023</v>
      </c>
      <c r="B414">
        <v>8</v>
      </c>
      <c r="C414" t="s">
        <v>15</v>
      </c>
      <c r="D414">
        <v>65</v>
      </c>
      <c r="E414">
        <v>61</v>
      </c>
      <c r="F414">
        <f t="shared" si="18"/>
        <v>4</v>
      </c>
      <c r="G414">
        <f t="shared" si="17"/>
        <v>6.5573770491803282E-2</v>
      </c>
      <c r="H414" t="s">
        <v>34</v>
      </c>
    </row>
    <row r="415" spans="1:8">
      <c r="A415">
        <v>2023</v>
      </c>
      <c r="B415">
        <v>9</v>
      </c>
      <c r="C415" t="s">
        <v>8</v>
      </c>
      <c r="D415">
        <f>VLOOKUP(C415,[2]FP!$C:$P,14,0)</f>
        <v>14</v>
      </c>
      <c r="E415">
        <f>VLOOKUP(C415,[2]FP!$C:$L,10,0)</f>
        <v>11</v>
      </c>
      <c r="F415">
        <f t="shared" si="18"/>
        <v>3</v>
      </c>
      <c r="G415">
        <f t="shared" si="17"/>
        <v>0.27272727272727271</v>
      </c>
      <c r="H415" t="s">
        <v>9</v>
      </c>
    </row>
    <row r="416" spans="1:8">
      <c r="A416">
        <v>2023</v>
      </c>
      <c r="B416">
        <v>9</v>
      </c>
      <c r="C416" t="s">
        <v>10</v>
      </c>
      <c r="D416">
        <f>VLOOKUP(C416,[2]FP!$C:$P,14,0)</f>
        <v>47</v>
      </c>
      <c r="E416">
        <f>VLOOKUP(C416,[2]FP!$C:$L,10,0)</f>
        <v>43</v>
      </c>
      <c r="F416">
        <f t="shared" si="18"/>
        <v>4</v>
      </c>
      <c r="G416">
        <f t="shared" si="17"/>
        <v>9.3023255813953487E-2</v>
      </c>
      <c r="H416" t="s">
        <v>9</v>
      </c>
    </row>
    <row r="417" spans="1:8">
      <c r="A417">
        <v>2023</v>
      </c>
      <c r="B417">
        <v>9</v>
      </c>
      <c r="C417" t="s">
        <v>11</v>
      </c>
      <c r="D417">
        <f>VLOOKUP(C417,[2]FP!$C:$P,14,0)</f>
        <v>47</v>
      </c>
      <c r="E417">
        <f>VLOOKUP(C417,[2]FP!$C:$L,10,0)</f>
        <v>41</v>
      </c>
      <c r="F417">
        <f t="shared" si="18"/>
        <v>6</v>
      </c>
      <c r="G417">
        <f t="shared" si="17"/>
        <v>0.14634146341463414</v>
      </c>
      <c r="H417" t="s">
        <v>9</v>
      </c>
    </row>
    <row r="418" spans="1:8">
      <c r="A418">
        <v>2023</v>
      </c>
      <c r="B418">
        <v>9</v>
      </c>
      <c r="C418" t="s">
        <v>12</v>
      </c>
      <c r="D418">
        <f>VLOOKUP(C418,[2]FP!$C:$P,14,0)</f>
        <v>71</v>
      </c>
      <c r="E418">
        <f>VLOOKUP(C418,[2]FP!$C:$L,10,0)</f>
        <v>67</v>
      </c>
      <c r="F418">
        <f t="shared" si="18"/>
        <v>4</v>
      </c>
      <c r="G418">
        <f t="shared" si="17"/>
        <v>5.9701492537313432E-2</v>
      </c>
      <c r="H418" t="s">
        <v>9</v>
      </c>
    </row>
    <row r="419" spans="1:8">
      <c r="A419">
        <v>2023</v>
      </c>
      <c r="B419">
        <v>9</v>
      </c>
      <c r="C419" t="s">
        <v>13</v>
      </c>
      <c r="D419">
        <f>VLOOKUP(C419,[2]FP!$C:$P,14,0)</f>
        <v>16</v>
      </c>
      <c r="E419">
        <f>VLOOKUP(C419,[2]FP!$C:$L,10,0)</f>
        <v>15</v>
      </c>
      <c r="F419">
        <f t="shared" si="18"/>
        <v>1</v>
      </c>
      <c r="G419">
        <f t="shared" si="17"/>
        <v>6.6666666666666666E-2</v>
      </c>
      <c r="H419" t="s">
        <v>9</v>
      </c>
    </row>
    <row r="420" spans="1:8">
      <c r="A420">
        <v>2023</v>
      </c>
      <c r="B420">
        <v>9</v>
      </c>
      <c r="C420" t="s">
        <v>14</v>
      </c>
      <c r="D420">
        <f>VLOOKUP(C420,[2]FP!$C:$P,14,0)</f>
        <v>257</v>
      </c>
      <c r="E420">
        <f>VLOOKUP(C420,[2]FP!$C:$L,10,0)</f>
        <v>277</v>
      </c>
      <c r="F420">
        <f t="shared" si="18"/>
        <v>-20</v>
      </c>
      <c r="G420">
        <f t="shared" si="17"/>
        <v>-7.2202166064981949E-2</v>
      </c>
      <c r="H420" t="s">
        <v>9</v>
      </c>
    </row>
    <row r="421" spans="1:8">
      <c r="A421">
        <v>2023</v>
      </c>
      <c r="B421">
        <v>9</v>
      </c>
      <c r="C421" t="s">
        <v>15</v>
      </c>
      <c r="D421">
        <v>166</v>
      </c>
      <c r="E421">
        <v>155</v>
      </c>
      <c r="F421">
        <f t="shared" si="18"/>
        <v>11</v>
      </c>
      <c r="G421">
        <f t="shared" si="17"/>
        <v>7.0967741935483872E-2</v>
      </c>
      <c r="H421" t="s">
        <v>9</v>
      </c>
    </row>
    <row r="422" spans="1:8">
      <c r="A422">
        <v>2023</v>
      </c>
      <c r="B422">
        <v>9</v>
      </c>
      <c r="C422" t="s">
        <v>16</v>
      </c>
      <c r="D422">
        <f>VLOOKUP(C422,[2]FP!$C:$P,14,0)</f>
        <v>37</v>
      </c>
      <c r="E422">
        <f>VLOOKUP(C422,[2]FP!$C:$L,10,0)</f>
        <v>32</v>
      </c>
      <c r="F422">
        <f t="shared" si="18"/>
        <v>5</v>
      </c>
      <c r="G422">
        <f t="shared" si="17"/>
        <v>0.15625</v>
      </c>
      <c r="H422" t="s">
        <v>9</v>
      </c>
    </row>
    <row r="423" spans="1:8">
      <c r="A423">
        <v>2023</v>
      </c>
      <c r="B423">
        <v>9</v>
      </c>
      <c r="C423" t="s">
        <v>17</v>
      </c>
      <c r="D423">
        <f>VLOOKUP(C423,[2]FP!$C:$P,14,0)</f>
        <v>43</v>
      </c>
      <c r="E423">
        <f>VLOOKUP(C423,[2]FP!$C:$L,10,0)</f>
        <v>38</v>
      </c>
      <c r="F423">
        <f t="shared" si="18"/>
        <v>5</v>
      </c>
      <c r="G423">
        <f t="shared" si="17"/>
        <v>0.13157894736842105</v>
      </c>
      <c r="H423" t="s">
        <v>9</v>
      </c>
    </row>
    <row r="424" spans="1:8">
      <c r="A424">
        <v>2023</v>
      </c>
      <c r="B424">
        <v>9</v>
      </c>
      <c r="C424" t="s">
        <v>18</v>
      </c>
      <c r="D424">
        <f>VLOOKUP(C424,[2]FP!$C:$P,14,0)</f>
        <v>58</v>
      </c>
      <c r="E424">
        <f>VLOOKUP(C424,[2]FP!$C:$L,10,0)</f>
        <v>64</v>
      </c>
      <c r="F424">
        <f t="shared" si="18"/>
        <v>-6</v>
      </c>
      <c r="G424">
        <f t="shared" si="17"/>
        <v>-9.375E-2</v>
      </c>
      <c r="H424" t="s">
        <v>9</v>
      </c>
    </row>
    <row r="425" spans="1:8">
      <c r="A425">
        <v>2023</v>
      </c>
      <c r="B425">
        <v>9</v>
      </c>
      <c r="C425" t="s">
        <v>19</v>
      </c>
      <c r="D425">
        <f>VLOOKUP(C425,[2]FP!$C:$P,14,0)</f>
        <v>85</v>
      </c>
      <c r="E425">
        <f>VLOOKUP(C425,[2]FP!$C:$L,10,0)</f>
        <v>76</v>
      </c>
      <c r="F425">
        <f t="shared" si="18"/>
        <v>9</v>
      </c>
      <c r="G425">
        <f t="shared" si="17"/>
        <v>0.11842105263157894</v>
      </c>
      <c r="H425" t="s">
        <v>9</v>
      </c>
    </row>
    <row r="426" spans="1:8">
      <c r="A426">
        <v>2023</v>
      </c>
      <c r="B426">
        <v>9</v>
      </c>
      <c r="C426" t="s">
        <v>20</v>
      </c>
      <c r="D426">
        <f>VLOOKUP(C426,[2]FP!$C:$P,14,0)</f>
        <v>31</v>
      </c>
      <c r="E426">
        <f>VLOOKUP(C426,[2]FP!$C:$L,10,0)</f>
        <v>29</v>
      </c>
      <c r="F426">
        <f t="shared" si="18"/>
        <v>2</v>
      </c>
      <c r="G426">
        <f t="shared" si="17"/>
        <v>6.8965517241379309E-2</v>
      </c>
      <c r="H426" t="s">
        <v>9</v>
      </c>
    </row>
    <row r="427" spans="1:8">
      <c r="A427">
        <v>2023</v>
      </c>
      <c r="B427">
        <v>9</v>
      </c>
      <c r="C427" t="s">
        <v>21</v>
      </c>
      <c r="D427">
        <f>VLOOKUP(C427,[2]FP!$C:$P,14,0)</f>
        <v>114</v>
      </c>
      <c r="E427">
        <f>VLOOKUP(C427,[2]FP!$C:$L,10,0)</f>
        <v>115</v>
      </c>
      <c r="F427">
        <f t="shared" si="18"/>
        <v>-1</v>
      </c>
      <c r="G427">
        <f t="shared" si="17"/>
        <v>-8.6956521739130436E-3</v>
      </c>
      <c r="H427" t="s">
        <v>9</v>
      </c>
    </row>
    <row r="428" spans="1:8">
      <c r="A428">
        <v>2023</v>
      </c>
      <c r="B428">
        <v>9</v>
      </c>
      <c r="C428" t="s">
        <v>22</v>
      </c>
      <c r="D428">
        <f>VLOOKUP(C428,[2]FP!$C:$P,14,0)</f>
        <v>22</v>
      </c>
      <c r="E428">
        <f>VLOOKUP(C428,[2]FP!$C:$L,10,0)</f>
        <v>21</v>
      </c>
      <c r="F428">
        <f t="shared" si="18"/>
        <v>1</v>
      </c>
      <c r="G428">
        <f t="shared" si="17"/>
        <v>4.7619047619047616E-2</v>
      </c>
      <c r="H428" t="s">
        <v>9</v>
      </c>
    </row>
    <row r="429" spans="1:8">
      <c r="A429">
        <v>2023</v>
      </c>
      <c r="B429">
        <v>9</v>
      </c>
      <c r="C429" t="s">
        <v>23</v>
      </c>
      <c r="D429">
        <f>VLOOKUP(C429,[2]FP!$C:$P,14,0)</f>
        <v>35</v>
      </c>
      <c r="E429">
        <f>VLOOKUP(C429,[2]FP!$C:$L,10,0)</f>
        <v>31</v>
      </c>
      <c r="F429">
        <f t="shared" si="18"/>
        <v>4</v>
      </c>
      <c r="G429">
        <f t="shared" si="17"/>
        <v>0.12903225806451613</v>
      </c>
      <c r="H429" t="s">
        <v>9</v>
      </c>
    </row>
    <row r="430" spans="1:8">
      <c r="A430">
        <v>2023</v>
      </c>
      <c r="B430">
        <v>9</v>
      </c>
      <c r="C430" t="s">
        <v>24</v>
      </c>
      <c r="D430">
        <f>VLOOKUP(C430,[2]FP!$C:$P,14,0)</f>
        <v>64</v>
      </c>
      <c r="E430">
        <f>VLOOKUP(C430,[2]FP!$C:$L,10,0)</f>
        <v>61</v>
      </c>
      <c r="F430">
        <f t="shared" si="18"/>
        <v>3</v>
      </c>
      <c r="G430">
        <f t="shared" si="17"/>
        <v>4.9180327868852458E-2</v>
      </c>
      <c r="H430" t="s">
        <v>9</v>
      </c>
    </row>
    <row r="431" spans="1:8">
      <c r="A431">
        <v>2023</v>
      </c>
      <c r="B431">
        <v>9</v>
      </c>
      <c r="C431" t="s">
        <v>25</v>
      </c>
      <c r="D431">
        <f>VLOOKUP(C431,[2]FP!$C:$P,14,0)</f>
        <v>77</v>
      </c>
      <c r="E431">
        <f>VLOOKUP(C431,[2]FP!$C:$L,10,0)</f>
        <v>76</v>
      </c>
      <c r="F431">
        <f t="shared" si="18"/>
        <v>1</v>
      </c>
      <c r="G431">
        <f t="shared" si="17"/>
        <v>1.3157894736842105E-2</v>
      </c>
      <c r="H431" t="s">
        <v>9</v>
      </c>
    </row>
    <row r="432" spans="1:8">
      <c r="A432">
        <v>2023</v>
      </c>
      <c r="B432">
        <v>9</v>
      </c>
      <c r="C432" t="s">
        <v>26</v>
      </c>
      <c r="D432">
        <f>VLOOKUP(C432,[2]FP!$C:$P,14,0)</f>
        <v>59</v>
      </c>
      <c r="E432">
        <f>VLOOKUP(C432,[2]FP!$C:$L,10,0)</f>
        <v>67</v>
      </c>
      <c r="F432">
        <f t="shared" si="18"/>
        <v>-8</v>
      </c>
      <c r="G432">
        <f t="shared" si="17"/>
        <v>-0.11940298507462686</v>
      </c>
      <c r="H432" t="s">
        <v>9</v>
      </c>
    </row>
    <row r="433" spans="1:8">
      <c r="A433">
        <v>2023</v>
      </c>
      <c r="B433">
        <v>9</v>
      </c>
      <c r="C433" t="s">
        <v>27</v>
      </c>
      <c r="D433">
        <f>VLOOKUP(C433,[2]FP!$C:$P,14,0)</f>
        <v>109</v>
      </c>
      <c r="E433">
        <f>VLOOKUP(C433,[2]FP!$C:$L,10,0)</f>
        <v>109</v>
      </c>
      <c r="F433">
        <f t="shared" si="18"/>
        <v>0</v>
      </c>
      <c r="G433">
        <f t="shared" si="17"/>
        <v>0</v>
      </c>
      <c r="H433" t="s">
        <v>9</v>
      </c>
    </row>
    <row r="434" spans="1:8">
      <c r="A434">
        <v>2023</v>
      </c>
      <c r="B434">
        <v>9</v>
      </c>
      <c r="C434" t="s">
        <v>28</v>
      </c>
      <c r="D434">
        <f>VLOOKUP(C434,[2]FP!$C:$P,14,0)</f>
        <v>37</v>
      </c>
      <c r="E434">
        <f>VLOOKUP(C434,[2]FP!$C:$L,10,0)</f>
        <v>36</v>
      </c>
      <c r="F434">
        <f t="shared" si="18"/>
        <v>1</v>
      </c>
      <c r="G434">
        <f t="shared" si="17"/>
        <v>2.7777777777777776E-2</v>
      </c>
      <c r="H434" t="s">
        <v>9</v>
      </c>
    </row>
    <row r="435" spans="1:8">
      <c r="A435">
        <v>2023</v>
      </c>
      <c r="B435">
        <v>9</v>
      </c>
      <c r="C435" t="s">
        <v>29</v>
      </c>
      <c r="D435">
        <f>VLOOKUP(C435,[2]FP!$C:$P,14,0)</f>
        <v>45</v>
      </c>
      <c r="E435">
        <f>VLOOKUP(C435,[2]FP!$C:$L,10,0)</f>
        <v>44</v>
      </c>
      <c r="F435">
        <f t="shared" si="18"/>
        <v>1</v>
      </c>
      <c r="G435">
        <f t="shared" si="17"/>
        <v>2.2727272727272728E-2</v>
      </c>
      <c r="H435" t="s">
        <v>9</v>
      </c>
    </row>
    <row r="436" spans="1:8">
      <c r="A436">
        <v>2023</v>
      </c>
      <c r="B436">
        <v>9</v>
      </c>
      <c r="C436" t="s">
        <v>30</v>
      </c>
      <c r="D436">
        <f>VLOOKUP(C436,[2]FP!$C:$P,14,0)</f>
        <v>81</v>
      </c>
      <c r="E436">
        <f>VLOOKUP(C436,[2]FP!$C:$L,10,0)</f>
        <v>80</v>
      </c>
      <c r="F436">
        <f t="shared" si="18"/>
        <v>1</v>
      </c>
      <c r="G436">
        <f t="shared" ref="G436:G499" si="19">F436/E436</f>
        <v>1.2500000000000001E-2</v>
      </c>
      <c r="H436" t="s">
        <v>9</v>
      </c>
    </row>
    <row r="437" spans="1:8">
      <c r="A437">
        <v>2023</v>
      </c>
      <c r="B437">
        <v>9</v>
      </c>
      <c r="C437" t="s">
        <v>31</v>
      </c>
      <c r="D437">
        <f>VLOOKUP(C437,[2]FP!$C:$P,14,0)</f>
        <v>52</v>
      </c>
      <c r="E437">
        <f>VLOOKUP(C437,[2]FP!$C:$L,10,0)</f>
        <v>46</v>
      </c>
      <c r="F437">
        <f t="shared" si="18"/>
        <v>6</v>
      </c>
      <c r="G437">
        <f t="shared" si="19"/>
        <v>0.13043478260869565</v>
      </c>
      <c r="H437" t="s">
        <v>9</v>
      </c>
    </row>
    <row r="438" spans="1:8">
      <c r="A438">
        <v>2023</v>
      </c>
      <c r="B438">
        <v>9</v>
      </c>
      <c r="C438" t="s">
        <v>32</v>
      </c>
      <c r="D438">
        <f>VLOOKUP(C438,[2]FP!$C:$P,14,0)</f>
        <v>61</v>
      </c>
      <c r="E438">
        <f>VLOOKUP(C438,[2]FP!$C:$L,10,0)</f>
        <v>55</v>
      </c>
      <c r="F438">
        <f t="shared" si="18"/>
        <v>6</v>
      </c>
      <c r="G438">
        <f t="shared" si="19"/>
        <v>0.10909090909090909</v>
      </c>
      <c r="H438" t="s">
        <v>9</v>
      </c>
    </row>
    <row r="439" spans="1:8">
      <c r="A439">
        <v>2023</v>
      </c>
      <c r="B439">
        <v>9</v>
      </c>
      <c r="C439" t="s">
        <v>33</v>
      </c>
      <c r="D439">
        <f>VLOOKUP(C439,[2]FP!$C:$P,14,0)</f>
        <v>32</v>
      </c>
      <c r="E439">
        <f>VLOOKUP(C439,[2]FP!$C:$L,10,0)</f>
        <v>30</v>
      </c>
      <c r="F439">
        <f t="shared" si="18"/>
        <v>2</v>
      </c>
      <c r="G439">
        <f t="shared" si="19"/>
        <v>6.6666666666666666E-2</v>
      </c>
      <c r="H439" t="s">
        <v>9</v>
      </c>
    </row>
    <row r="440" spans="1:8">
      <c r="A440">
        <v>2023</v>
      </c>
      <c r="B440">
        <v>9</v>
      </c>
      <c r="C440" t="s">
        <v>35</v>
      </c>
      <c r="D440">
        <f>VLOOKUP(C440,[2]FP!$C:$P,14,0)</f>
        <v>30</v>
      </c>
      <c r="E440">
        <f>VLOOKUP(C440,[2]FP!$C:$L,10,0)</f>
        <v>30</v>
      </c>
      <c r="F440">
        <f t="shared" si="18"/>
        <v>0</v>
      </c>
      <c r="G440">
        <f t="shared" si="19"/>
        <v>0</v>
      </c>
      <c r="H440" t="s">
        <v>9</v>
      </c>
    </row>
    <row r="441" spans="1:8">
      <c r="A441">
        <v>2023</v>
      </c>
      <c r="B441">
        <v>9</v>
      </c>
      <c r="C441" t="s">
        <v>15</v>
      </c>
      <c r="D441">
        <v>64</v>
      </c>
      <c r="E441">
        <v>61</v>
      </c>
      <c r="F441">
        <f t="shared" si="18"/>
        <v>3</v>
      </c>
      <c r="G441">
        <f t="shared" si="19"/>
        <v>4.9180327868852458E-2</v>
      </c>
      <c r="H441" t="s">
        <v>34</v>
      </c>
    </row>
    <row r="442" spans="1:8">
      <c r="A442">
        <v>2023</v>
      </c>
      <c r="B442">
        <v>10</v>
      </c>
      <c r="C442" t="s">
        <v>8</v>
      </c>
      <c r="D442">
        <f>VLOOKUP(C442,[2]FP!$C:$P,14,0)</f>
        <v>14</v>
      </c>
      <c r="E442">
        <f>VLOOKUP(C442,[2]FP!$C:$L,10,0)</f>
        <v>11</v>
      </c>
      <c r="F442">
        <f t="shared" si="18"/>
        <v>3</v>
      </c>
      <c r="G442">
        <f t="shared" si="19"/>
        <v>0.27272727272727271</v>
      </c>
      <c r="H442" t="s">
        <v>9</v>
      </c>
    </row>
    <row r="443" spans="1:8">
      <c r="A443">
        <v>2023</v>
      </c>
      <c r="B443">
        <v>10</v>
      </c>
      <c r="C443" t="s">
        <v>10</v>
      </c>
      <c r="D443">
        <f>VLOOKUP(C443,[2]FP!$C:$P,14,0)</f>
        <v>47</v>
      </c>
      <c r="E443">
        <f>VLOOKUP(C443,[2]FP!$C:$L,10,0)</f>
        <v>43</v>
      </c>
      <c r="F443">
        <f t="shared" si="18"/>
        <v>4</v>
      </c>
      <c r="G443">
        <f t="shared" si="19"/>
        <v>9.3023255813953487E-2</v>
      </c>
      <c r="H443" t="s">
        <v>9</v>
      </c>
    </row>
    <row r="444" spans="1:8">
      <c r="A444">
        <v>2023</v>
      </c>
      <c r="B444">
        <v>10</v>
      </c>
      <c r="C444" t="s">
        <v>11</v>
      </c>
      <c r="D444">
        <f>VLOOKUP(C444,[2]FP!$C:$P,14,0)</f>
        <v>47</v>
      </c>
      <c r="E444">
        <f>VLOOKUP(C444,[2]FP!$C:$L,10,0)</f>
        <v>41</v>
      </c>
      <c r="F444">
        <f t="shared" si="18"/>
        <v>6</v>
      </c>
      <c r="G444">
        <f t="shared" si="19"/>
        <v>0.14634146341463414</v>
      </c>
      <c r="H444" t="s">
        <v>9</v>
      </c>
    </row>
    <row r="445" spans="1:8">
      <c r="A445">
        <v>2023</v>
      </c>
      <c r="B445">
        <v>10</v>
      </c>
      <c r="C445" t="s">
        <v>12</v>
      </c>
      <c r="D445">
        <f>VLOOKUP(C445,[2]FP!$C:$P,14,0)</f>
        <v>71</v>
      </c>
      <c r="E445">
        <f>VLOOKUP(C445,[2]FP!$C:$L,10,0)</f>
        <v>67</v>
      </c>
      <c r="F445">
        <f t="shared" si="18"/>
        <v>4</v>
      </c>
      <c r="G445">
        <f t="shared" si="19"/>
        <v>5.9701492537313432E-2</v>
      </c>
      <c r="H445" t="s">
        <v>9</v>
      </c>
    </row>
    <row r="446" spans="1:8">
      <c r="A446">
        <v>2023</v>
      </c>
      <c r="B446">
        <v>10</v>
      </c>
      <c r="C446" t="s">
        <v>13</v>
      </c>
      <c r="D446">
        <f>VLOOKUP(C446,[2]FP!$C:$P,14,0)</f>
        <v>16</v>
      </c>
      <c r="E446">
        <f>VLOOKUP(C446,[2]FP!$C:$L,10,0)</f>
        <v>15</v>
      </c>
      <c r="F446">
        <f t="shared" si="18"/>
        <v>1</v>
      </c>
      <c r="G446">
        <f t="shared" si="19"/>
        <v>6.6666666666666666E-2</v>
      </c>
      <c r="H446" t="s">
        <v>9</v>
      </c>
    </row>
    <row r="447" spans="1:8">
      <c r="A447">
        <v>2023</v>
      </c>
      <c r="B447">
        <v>10</v>
      </c>
      <c r="C447" t="s">
        <v>14</v>
      </c>
      <c r="D447">
        <f>VLOOKUP(C447,[2]FP!$C:$P,14,0)</f>
        <v>257</v>
      </c>
      <c r="E447">
        <f>VLOOKUP(C447,[2]FP!$C:$L,10,0)</f>
        <v>277</v>
      </c>
      <c r="F447">
        <f t="shared" si="18"/>
        <v>-20</v>
      </c>
      <c r="G447">
        <f t="shared" si="19"/>
        <v>-7.2202166064981949E-2</v>
      </c>
      <c r="H447" t="s">
        <v>9</v>
      </c>
    </row>
    <row r="448" spans="1:8">
      <c r="A448">
        <v>2023</v>
      </c>
      <c r="B448">
        <v>10</v>
      </c>
      <c r="C448" t="s">
        <v>15</v>
      </c>
      <c r="D448">
        <v>166</v>
      </c>
      <c r="E448">
        <v>155</v>
      </c>
      <c r="F448">
        <f t="shared" si="18"/>
        <v>11</v>
      </c>
      <c r="G448">
        <f t="shared" si="19"/>
        <v>7.0967741935483872E-2</v>
      </c>
      <c r="H448" t="s">
        <v>9</v>
      </c>
    </row>
    <row r="449" spans="1:8">
      <c r="A449">
        <v>2023</v>
      </c>
      <c r="B449">
        <v>10</v>
      </c>
      <c r="C449" t="s">
        <v>16</v>
      </c>
      <c r="D449">
        <f>VLOOKUP(C449,[2]FP!$C:$P,14,0)</f>
        <v>37</v>
      </c>
      <c r="E449">
        <f>VLOOKUP(C449,[2]FP!$C:$L,10,0)</f>
        <v>32</v>
      </c>
      <c r="F449">
        <f t="shared" si="18"/>
        <v>5</v>
      </c>
      <c r="G449">
        <f t="shared" si="19"/>
        <v>0.15625</v>
      </c>
      <c r="H449" t="s">
        <v>9</v>
      </c>
    </row>
    <row r="450" spans="1:8">
      <c r="A450">
        <v>2023</v>
      </c>
      <c r="B450">
        <v>10</v>
      </c>
      <c r="C450" t="s">
        <v>17</v>
      </c>
      <c r="D450">
        <f>VLOOKUP(C450,[2]FP!$C:$P,14,0)</f>
        <v>43</v>
      </c>
      <c r="E450">
        <f>VLOOKUP(C450,[2]FP!$C:$L,10,0)</f>
        <v>38</v>
      </c>
      <c r="F450">
        <f t="shared" si="18"/>
        <v>5</v>
      </c>
      <c r="G450">
        <f t="shared" si="19"/>
        <v>0.13157894736842105</v>
      </c>
      <c r="H450" t="s">
        <v>9</v>
      </c>
    </row>
    <row r="451" spans="1:8">
      <c r="A451">
        <v>2023</v>
      </c>
      <c r="B451">
        <v>10</v>
      </c>
      <c r="C451" t="s">
        <v>18</v>
      </c>
      <c r="D451">
        <f>VLOOKUP(C451,[2]FP!$C:$P,14,0)</f>
        <v>58</v>
      </c>
      <c r="E451">
        <f>VLOOKUP(C451,[2]FP!$C:$L,10,0)</f>
        <v>64</v>
      </c>
      <c r="F451">
        <f t="shared" si="18"/>
        <v>-6</v>
      </c>
      <c r="G451">
        <f t="shared" si="19"/>
        <v>-9.375E-2</v>
      </c>
      <c r="H451" t="s">
        <v>9</v>
      </c>
    </row>
    <row r="452" spans="1:8">
      <c r="A452">
        <v>2023</v>
      </c>
      <c r="B452">
        <v>10</v>
      </c>
      <c r="C452" t="s">
        <v>19</v>
      </c>
      <c r="D452">
        <f>VLOOKUP(C452,[2]FP!$C:$P,14,0)</f>
        <v>85</v>
      </c>
      <c r="E452">
        <f>VLOOKUP(C452,[2]FP!$C:$L,10,0)</f>
        <v>76</v>
      </c>
      <c r="F452">
        <f t="shared" si="18"/>
        <v>9</v>
      </c>
      <c r="G452">
        <f t="shared" si="19"/>
        <v>0.11842105263157894</v>
      </c>
      <c r="H452" t="s">
        <v>9</v>
      </c>
    </row>
    <row r="453" spans="1:8">
      <c r="A453">
        <v>2023</v>
      </c>
      <c r="B453">
        <v>10</v>
      </c>
      <c r="C453" t="s">
        <v>20</v>
      </c>
      <c r="D453">
        <f>VLOOKUP(C453,[2]FP!$C:$P,14,0)</f>
        <v>31</v>
      </c>
      <c r="E453">
        <f>VLOOKUP(C453,[2]FP!$C:$L,10,0)</f>
        <v>29</v>
      </c>
      <c r="F453">
        <f t="shared" si="18"/>
        <v>2</v>
      </c>
      <c r="G453">
        <f t="shared" si="19"/>
        <v>6.8965517241379309E-2</v>
      </c>
      <c r="H453" t="s">
        <v>9</v>
      </c>
    </row>
    <row r="454" spans="1:8">
      <c r="A454">
        <v>2023</v>
      </c>
      <c r="B454">
        <v>10</v>
      </c>
      <c r="C454" t="s">
        <v>21</v>
      </c>
      <c r="D454">
        <f>VLOOKUP(C454,[2]FP!$C:$P,14,0)</f>
        <v>114</v>
      </c>
      <c r="E454">
        <f>VLOOKUP(C454,[2]FP!$C:$L,10,0)</f>
        <v>115</v>
      </c>
      <c r="F454">
        <f t="shared" si="18"/>
        <v>-1</v>
      </c>
      <c r="G454">
        <f t="shared" si="19"/>
        <v>-8.6956521739130436E-3</v>
      </c>
      <c r="H454" t="s">
        <v>9</v>
      </c>
    </row>
    <row r="455" spans="1:8">
      <c r="A455">
        <v>2023</v>
      </c>
      <c r="B455">
        <v>10</v>
      </c>
      <c r="C455" t="s">
        <v>22</v>
      </c>
      <c r="D455">
        <f>VLOOKUP(C455,[2]FP!$C:$P,14,0)</f>
        <v>22</v>
      </c>
      <c r="E455">
        <f>VLOOKUP(C455,[2]FP!$C:$L,10,0)</f>
        <v>21</v>
      </c>
      <c r="F455">
        <f t="shared" si="18"/>
        <v>1</v>
      </c>
      <c r="G455">
        <f t="shared" si="19"/>
        <v>4.7619047619047616E-2</v>
      </c>
      <c r="H455" t="s">
        <v>9</v>
      </c>
    </row>
    <row r="456" spans="1:8">
      <c r="A456">
        <v>2023</v>
      </c>
      <c r="B456">
        <v>10</v>
      </c>
      <c r="C456" t="s">
        <v>23</v>
      </c>
      <c r="D456">
        <f>VLOOKUP(C456,[2]FP!$C:$P,14,0)</f>
        <v>35</v>
      </c>
      <c r="E456">
        <f>VLOOKUP(C456,[2]FP!$C:$L,10,0)</f>
        <v>31</v>
      </c>
      <c r="F456">
        <f t="shared" si="18"/>
        <v>4</v>
      </c>
      <c r="G456">
        <f t="shared" si="19"/>
        <v>0.12903225806451613</v>
      </c>
      <c r="H456" t="s">
        <v>9</v>
      </c>
    </row>
    <row r="457" spans="1:8">
      <c r="A457">
        <v>2023</v>
      </c>
      <c r="B457">
        <v>10</v>
      </c>
      <c r="C457" t="s">
        <v>24</v>
      </c>
      <c r="D457">
        <f>VLOOKUP(C457,[2]FP!$C:$P,14,0)</f>
        <v>64</v>
      </c>
      <c r="E457">
        <f>VLOOKUP(C457,[2]FP!$C:$L,10,0)</f>
        <v>61</v>
      </c>
      <c r="F457">
        <f t="shared" si="18"/>
        <v>3</v>
      </c>
      <c r="G457">
        <f t="shared" si="19"/>
        <v>4.9180327868852458E-2</v>
      </c>
      <c r="H457" t="s">
        <v>9</v>
      </c>
    </row>
    <row r="458" spans="1:8">
      <c r="A458">
        <v>2023</v>
      </c>
      <c r="B458">
        <v>10</v>
      </c>
      <c r="C458" t="s">
        <v>25</v>
      </c>
      <c r="D458">
        <f>VLOOKUP(C458,[2]FP!$C:$P,14,0)</f>
        <v>77</v>
      </c>
      <c r="E458">
        <f>VLOOKUP(C458,[2]FP!$C:$L,10,0)</f>
        <v>76</v>
      </c>
      <c r="F458">
        <f t="shared" si="18"/>
        <v>1</v>
      </c>
      <c r="G458">
        <f t="shared" si="19"/>
        <v>1.3157894736842105E-2</v>
      </c>
      <c r="H458" t="s">
        <v>9</v>
      </c>
    </row>
    <row r="459" spans="1:8">
      <c r="A459">
        <v>2023</v>
      </c>
      <c r="B459">
        <v>10</v>
      </c>
      <c r="C459" t="s">
        <v>26</v>
      </c>
      <c r="D459">
        <f>VLOOKUP(C459,[2]FP!$C:$P,14,0)</f>
        <v>59</v>
      </c>
      <c r="E459">
        <f>VLOOKUP(C459,[2]FP!$C:$L,10,0)</f>
        <v>67</v>
      </c>
      <c r="F459">
        <f t="shared" si="18"/>
        <v>-8</v>
      </c>
      <c r="G459">
        <f t="shared" si="19"/>
        <v>-0.11940298507462686</v>
      </c>
      <c r="H459" t="s">
        <v>9</v>
      </c>
    </row>
    <row r="460" spans="1:8">
      <c r="A460">
        <v>2023</v>
      </c>
      <c r="B460">
        <v>10</v>
      </c>
      <c r="C460" t="s">
        <v>27</v>
      </c>
      <c r="D460">
        <f>VLOOKUP(C460,[2]FP!$C:$P,14,0)</f>
        <v>109</v>
      </c>
      <c r="E460">
        <f>VLOOKUP(C460,[2]FP!$C:$L,10,0)</f>
        <v>109</v>
      </c>
      <c r="F460">
        <f t="shared" si="18"/>
        <v>0</v>
      </c>
      <c r="G460">
        <f t="shared" si="19"/>
        <v>0</v>
      </c>
      <c r="H460" t="s">
        <v>9</v>
      </c>
    </row>
    <row r="461" spans="1:8">
      <c r="A461">
        <v>2023</v>
      </c>
      <c r="B461">
        <v>10</v>
      </c>
      <c r="C461" t="s">
        <v>28</v>
      </c>
      <c r="D461">
        <f>VLOOKUP(C461,[2]FP!$C:$P,14,0)</f>
        <v>37</v>
      </c>
      <c r="E461">
        <f>VLOOKUP(C461,[2]FP!$C:$L,10,0)</f>
        <v>36</v>
      </c>
      <c r="F461">
        <f t="shared" si="18"/>
        <v>1</v>
      </c>
      <c r="G461">
        <f t="shared" si="19"/>
        <v>2.7777777777777776E-2</v>
      </c>
      <c r="H461" t="s">
        <v>9</v>
      </c>
    </row>
    <row r="462" spans="1:8">
      <c r="A462">
        <v>2023</v>
      </c>
      <c r="B462">
        <v>10</v>
      </c>
      <c r="C462" t="s">
        <v>29</v>
      </c>
      <c r="D462">
        <f>VLOOKUP(C462,[2]FP!$C:$P,14,0)</f>
        <v>45</v>
      </c>
      <c r="E462">
        <f>VLOOKUP(C462,[2]FP!$C:$L,10,0)</f>
        <v>44</v>
      </c>
      <c r="F462">
        <f t="shared" si="18"/>
        <v>1</v>
      </c>
      <c r="G462">
        <f t="shared" si="19"/>
        <v>2.2727272727272728E-2</v>
      </c>
      <c r="H462" t="s">
        <v>9</v>
      </c>
    </row>
    <row r="463" spans="1:8">
      <c r="A463">
        <v>2023</v>
      </c>
      <c r="B463">
        <v>10</v>
      </c>
      <c r="C463" t="s">
        <v>30</v>
      </c>
      <c r="D463">
        <f>VLOOKUP(C463,[2]FP!$C:$P,14,0)</f>
        <v>81</v>
      </c>
      <c r="E463">
        <f>VLOOKUP(C463,[2]FP!$C:$L,10,0)</f>
        <v>80</v>
      </c>
      <c r="F463">
        <f t="shared" si="18"/>
        <v>1</v>
      </c>
      <c r="G463">
        <f t="shared" si="19"/>
        <v>1.2500000000000001E-2</v>
      </c>
      <c r="H463" t="s">
        <v>9</v>
      </c>
    </row>
    <row r="464" spans="1:8">
      <c r="A464">
        <v>2023</v>
      </c>
      <c r="B464">
        <v>10</v>
      </c>
      <c r="C464" t="s">
        <v>31</v>
      </c>
      <c r="D464">
        <f>VLOOKUP(C464,[2]FP!$C:$P,14,0)</f>
        <v>52</v>
      </c>
      <c r="E464">
        <f>VLOOKUP(C464,[2]FP!$C:$L,10,0)</f>
        <v>46</v>
      </c>
      <c r="F464">
        <f t="shared" si="18"/>
        <v>6</v>
      </c>
      <c r="G464">
        <f t="shared" si="19"/>
        <v>0.13043478260869565</v>
      </c>
      <c r="H464" t="s">
        <v>9</v>
      </c>
    </row>
    <row r="465" spans="1:8">
      <c r="A465">
        <v>2023</v>
      </c>
      <c r="B465">
        <v>10</v>
      </c>
      <c r="C465" t="s">
        <v>32</v>
      </c>
      <c r="D465">
        <f>VLOOKUP(C465,[2]FP!$C:$P,14,0)</f>
        <v>61</v>
      </c>
      <c r="E465">
        <f>VLOOKUP(C465,[2]FP!$C:$L,10,0)</f>
        <v>55</v>
      </c>
      <c r="F465">
        <f t="shared" si="18"/>
        <v>6</v>
      </c>
      <c r="G465">
        <f t="shared" si="19"/>
        <v>0.10909090909090909</v>
      </c>
      <c r="H465" t="s">
        <v>9</v>
      </c>
    </row>
    <row r="466" spans="1:8">
      <c r="A466">
        <v>2023</v>
      </c>
      <c r="B466">
        <v>10</v>
      </c>
      <c r="C466" t="s">
        <v>33</v>
      </c>
      <c r="D466">
        <f>VLOOKUP(C466,[2]FP!$C:$P,14,0)</f>
        <v>32</v>
      </c>
      <c r="E466">
        <f>VLOOKUP(C466,[2]FP!$C:$L,10,0)</f>
        <v>30</v>
      </c>
      <c r="F466">
        <f t="shared" si="18"/>
        <v>2</v>
      </c>
      <c r="G466">
        <f t="shared" si="19"/>
        <v>6.6666666666666666E-2</v>
      </c>
      <c r="H466" t="s">
        <v>9</v>
      </c>
    </row>
    <row r="467" spans="1:8">
      <c r="A467">
        <v>2023</v>
      </c>
      <c r="B467">
        <v>10</v>
      </c>
      <c r="C467" t="s">
        <v>35</v>
      </c>
      <c r="D467">
        <f>VLOOKUP(C467,[2]FP!$C:$P,14,0)</f>
        <v>30</v>
      </c>
      <c r="E467">
        <f>VLOOKUP(C467,[2]FP!$C:$L,10,0)</f>
        <v>30</v>
      </c>
      <c r="F467">
        <f t="shared" si="18"/>
        <v>0</v>
      </c>
      <c r="G467">
        <f t="shared" si="19"/>
        <v>0</v>
      </c>
      <c r="H467" t="s">
        <v>9</v>
      </c>
    </row>
    <row r="468" spans="1:8">
      <c r="A468">
        <v>2023</v>
      </c>
      <c r="B468">
        <v>10</v>
      </c>
      <c r="C468" t="s">
        <v>15</v>
      </c>
      <c r="D468">
        <v>64</v>
      </c>
      <c r="E468">
        <v>61</v>
      </c>
      <c r="F468">
        <f t="shared" si="18"/>
        <v>3</v>
      </c>
      <c r="G468">
        <f t="shared" si="19"/>
        <v>4.9180327868852458E-2</v>
      </c>
      <c r="H468" t="s">
        <v>34</v>
      </c>
    </row>
    <row r="469" spans="1:8">
      <c r="A469">
        <v>2023</v>
      </c>
      <c r="B469">
        <v>11</v>
      </c>
      <c r="C469" t="s">
        <v>8</v>
      </c>
      <c r="D469">
        <f>VLOOKUP(C469,[2]FP!$C:$P,14,0)</f>
        <v>14</v>
      </c>
      <c r="E469">
        <f>VLOOKUP(C469,[2]FP!$C:$L,10,0)</f>
        <v>11</v>
      </c>
      <c r="F469">
        <f t="shared" si="18"/>
        <v>3</v>
      </c>
      <c r="G469">
        <f t="shared" si="19"/>
        <v>0.27272727272727271</v>
      </c>
      <c r="H469" t="s">
        <v>9</v>
      </c>
    </row>
    <row r="470" spans="1:8">
      <c r="A470">
        <v>2023</v>
      </c>
      <c r="B470">
        <v>11</v>
      </c>
      <c r="C470" t="s">
        <v>10</v>
      </c>
      <c r="D470">
        <f>VLOOKUP(C470,[2]FP!$C:$P,14,0)</f>
        <v>47</v>
      </c>
      <c r="E470">
        <f>VLOOKUP(C470,[2]FP!$C:$L,10,0)</f>
        <v>43</v>
      </c>
      <c r="F470">
        <f t="shared" si="18"/>
        <v>4</v>
      </c>
      <c r="G470">
        <f t="shared" si="19"/>
        <v>9.3023255813953487E-2</v>
      </c>
      <c r="H470" t="s">
        <v>9</v>
      </c>
    </row>
    <row r="471" spans="1:8">
      <c r="A471">
        <v>2023</v>
      </c>
      <c r="B471">
        <v>11</v>
      </c>
      <c r="C471" t="s">
        <v>11</v>
      </c>
      <c r="D471">
        <f>VLOOKUP(C471,[2]FP!$C:$P,14,0)</f>
        <v>47</v>
      </c>
      <c r="E471">
        <f>VLOOKUP(C471,[2]FP!$C:$L,10,0)</f>
        <v>41</v>
      </c>
      <c r="F471">
        <f t="shared" si="18"/>
        <v>6</v>
      </c>
      <c r="G471">
        <f t="shared" si="19"/>
        <v>0.14634146341463414</v>
      </c>
      <c r="H471" t="s">
        <v>9</v>
      </c>
    </row>
    <row r="472" spans="1:8">
      <c r="A472">
        <v>2023</v>
      </c>
      <c r="B472">
        <v>11</v>
      </c>
      <c r="C472" t="s">
        <v>12</v>
      </c>
      <c r="D472">
        <f>VLOOKUP(C472,[2]FP!$C:$P,14,0)</f>
        <v>71</v>
      </c>
      <c r="E472">
        <f>VLOOKUP(C472,[2]FP!$C:$L,10,0)</f>
        <v>67</v>
      </c>
      <c r="F472">
        <f t="shared" si="18"/>
        <v>4</v>
      </c>
      <c r="G472">
        <f t="shared" si="19"/>
        <v>5.9701492537313432E-2</v>
      </c>
      <c r="H472" t="s">
        <v>9</v>
      </c>
    </row>
    <row r="473" spans="1:8">
      <c r="A473">
        <v>2023</v>
      </c>
      <c r="B473">
        <v>11</v>
      </c>
      <c r="C473" t="s">
        <v>13</v>
      </c>
      <c r="D473">
        <f>VLOOKUP(C473,[2]FP!$C:$P,14,0)</f>
        <v>16</v>
      </c>
      <c r="E473">
        <f>VLOOKUP(C473,[2]FP!$C:$L,10,0)</f>
        <v>15</v>
      </c>
      <c r="F473">
        <f t="shared" si="18"/>
        <v>1</v>
      </c>
      <c r="G473">
        <f t="shared" si="19"/>
        <v>6.6666666666666666E-2</v>
      </c>
      <c r="H473" t="s">
        <v>9</v>
      </c>
    </row>
    <row r="474" spans="1:8">
      <c r="A474">
        <v>2023</v>
      </c>
      <c r="B474">
        <v>11</v>
      </c>
      <c r="C474" t="s">
        <v>14</v>
      </c>
      <c r="D474">
        <f>VLOOKUP(C474,[2]FP!$C:$P,14,0)</f>
        <v>257</v>
      </c>
      <c r="E474">
        <f>VLOOKUP(C474,[2]FP!$C:$L,10,0)</f>
        <v>277</v>
      </c>
      <c r="F474">
        <f t="shared" si="18"/>
        <v>-20</v>
      </c>
      <c r="G474">
        <f t="shared" si="19"/>
        <v>-7.2202166064981949E-2</v>
      </c>
      <c r="H474" t="s">
        <v>9</v>
      </c>
    </row>
    <row r="475" spans="1:8">
      <c r="A475">
        <v>2023</v>
      </c>
      <c r="B475">
        <v>11</v>
      </c>
      <c r="C475" t="s">
        <v>15</v>
      </c>
      <c r="D475">
        <v>166</v>
      </c>
      <c r="E475">
        <v>155</v>
      </c>
      <c r="F475">
        <f t="shared" si="18"/>
        <v>11</v>
      </c>
      <c r="G475">
        <f t="shared" si="19"/>
        <v>7.0967741935483872E-2</v>
      </c>
      <c r="H475" t="s">
        <v>9</v>
      </c>
    </row>
    <row r="476" spans="1:8">
      <c r="A476">
        <v>2023</v>
      </c>
      <c r="B476">
        <v>11</v>
      </c>
      <c r="C476" t="s">
        <v>16</v>
      </c>
      <c r="D476">
        <f>VLOOKUP(C476,[2]FP!$C:$P,14,0)</f>
        <v>37</v>
      </c>
      <c r="E476">
        <f>VLOOKUP(C476,[2]FP!$C:$L,10,0)</f>
        <v>32</v>
      </c>
      <c r="F476">
        <f t="shared" ref="F476:F539" si="20">D476-E476</f>
        <v>5</v>
      </c>
      <c r="G476">
        <f t="shared" si="19"/>
        <v>0.15625</v>
      </c>
      <c r="H476" t="s">
        <v>9</v>
      </c>
    </row>
    <row r="477" spans="1:8">
      <c r="A477">
        <v>2023</v>
      </c>
      <c r="B477">
        <v>11</v>
      </c>
      <c r="C477" t="s">
        <v>17</v>
      </c>
      <c r="D477">
        <f>VLOOKUP(C477,[2]FP!$C:$P,14,0)</f>
        <v>43</v>
      </c>
      <c r="E477">
        <f>VLOOKUP(C477,[2]FP!$C:$L,10,0)</f>
        <v>38</v>
      </c>
      <c r="F477">
        <f t="shared" si="20"/>
        <v>5</v>
      </c>
      <c r="G477">
        <f t="shared" si="19"/>
        <v>0.13157894736842105</v>
      </c>
      <c r="H477" t="s">
        <v>9</v>
      </c>
    </row>
    <row r="478" spans="1:8">
      <c r="A478">
        <v>2023</v>
      </c>
      <c r="B478">
        <v>11</v>
      </c>
      <c r="C478" t="s">
        <v>18</v>
      </c>
      <c r="D478">
        <f>VLOOKUP(C478,[2]FP!$C:$P,14,0)</f>
        <v>58</v>
      </c>
      <c r="E478">
        <f>VLOOKUP(C478,[2]FP!$C:$L,10,0)</f>
        <v>64</v>
      </c>
      <c r="F478">
        <f t="shared" si="20"/>
        <v>-6</v>
      </c>
      <c r="G478">
        <f t="shared" si="19"/>
        <v>-9.375E-2</v>
      </c>
      <c r="H478" t="s">
        <v>9</v>
      </c>
    </row>
    <row r="479" spans="1:8">
      <c r="A479">
        <v>2023</v>
      </c>
      <c r="B479">
        <v>11</v>
      </c>
      <c r="C479" t="s">
        <v>19</v>
      </c>
      <c r="D479">
        <f>VLOOKUP(C479,[2]FP!$C:$P,14,0)</f>
        <v>85</v>
      </c>
      <c r="E479">
        <f>VLOOKUP(C479,[2]FP!$C:$L,10,0)</f>
        <v>76</v>
      </c>
      <c r="F479">
        <f t="shared" si="20"/>
        <v>9</v>
      </c>
      <c r="G479">
        <f t="shared" si="19"/>
        <v>0.11842105263157894</v>
      </c>
      <c r="H479" t="s">
        <v>9</v>
      </c>
    </row>
    <row r="480" spans="1:8">
      <c r="A480">
        <v>2023</v>
      </c>
      <c r="B480">
        <v>11</v>
      </c>
      <c r="C480" t="s">
        <v>20</v>
      </c>
      <c r="D480">
        <f>VLOOKUP(C480,[2]FP!$C:$P,14,0)</f>
        <v>31</v>
      </c>
      <c r="E480">
        <f>VLOOKUP(C480,[2]FP!$C:$L,10,0)</f>
        <v>29</v>
      </c>
      <c r="F480">
        <f t="shared" si="20"/>
        <v>2</v>
      </c>
      <c r="G480">
        <f t="shared" si="19"/>
        <v>6.8965517241379309E-2</v>
      </c>
      <c r="H480" t="s">
        <v>9</v>
      </c>
    </row>
    <row r="481" spans="1:8">
      <c r="A481">
        <v>2023</v>
      </c>
      <c r="B481">
        <v>11</v>
      </c>
      <c r="C481" t="s">
        <v>21</v>
      </c>
      <c r="D481">
        <f>VLOOKUP(C481,[2]FP!$C:$P,14,0)</f>
        <v>114</v>
      </c>
      <c r="E481">
        <f>VLOOKUP(C481,[2]FP!$C:$L,10,0)</f>
        <v>115</v>
      </c>
      <c r="F481">
        <f t="shared" si="20"/>
        <v>-1</v>
      </c>
      <c r="G481">
        <f t="shared" si="19"/>
        <v>-8.6956521739130436E-3</v>
      </c>
      <c r="H481" t="s">
        <v>9</v>
      </c>
    </row>
    <row r="482" spans="1:8">
      <c r="A482">
        <v>2023</v>
      </c>
      <c r="B482">
        <v>11</v>
      </c>
      <c r="C482" t="s">
        <v>22</v>
      </c>
      <c r="D482">
        <f>VLOOKUP(C482,[2]FP!$C:$P,14,0)</f>
        <v>22</v>
      </c>
      <c r="E482">
        <f>VLOOKUP(C482,[2]FP!$C:$L,10,0)</f>
        <v>21</v>
      </c>
      <c r="F482">
        <f t="shared" si="20"/>
        <v>1</v>
      </c>
      <c r="G482">
        <f t="shared" si="19"/>
        <v>4.7619047619047616E-2</v>
      </c>
      <c r="H482" t="s">
        <v>9</v>
      </c>
    </row>
    <row r="483" spans="1:8">
      <c r="A483">
        <v>2023</v>
      </c>
      <c r="B483">
        <v>11</v>
      </c>
      <c r="C483" t="s">
        <v>23</v>
      </c>
      <c r="D483">
        <f>VLOOKUP(C483,[2]FP!$C:$P,14,0)</f>
        <v>35</v>
      </c>
      <c r="E483">
        <f>VLOOKUP(C483,[2]FP!$C:$L,10,0)</f>
        <v>31</v>
      </c>
      <c r="F483">
        <f t="shared" si="20"/>
        <v>4</v>
      </c>
      <c r="G483">
        <f t="shared" si="19"/>
        <v>0.12903225806451613</v>
      </c>
      <c r="H483" t="s">
        <v>9</v>
      </c>
    </row>
    <row r="484" spans="1:8">
      <c r="A484">
        <v>2023</v>
      </c>
      <c r="B484">
        <v>11</v>
      </c>
      <c r="C484" t="s">
        <v>24</v>
      </c>
      <c r="D484">
        <f>VLOOKUP(C484,[2]FP!$C:$P,14,0)</f>
        <v>64</v>
      </c>
      <c r="E484">
        <f>VLOOKUP(C484,[2]FP!$C:$L,10,0)</f>
        <v>61</v>
      </c>
      <c r="F484">
        <f t="shared" si="20"/>
        <v>3</v>
      </c>
      <c r="G484">
        <f t="shared" si="19"/>
        <v>4.9180327868852458E-2</v>
      </c>
      <c r="H484" t="s">
        <v>9</v>
      </c>
    </row>
    <row r="485" spans="1:8">
      <c r="A485">
        <v>2023</v>
      </c>
      <c r="B485">
        <v>11</v>
      </c>
      <c r="C485" t="s">
        <v>25</v>
      </c>
      <c r="D485">
        <f>VLOOKUP(C485,[2]FP!$C:$P,14,0)</f>
        <v>77</v>
      </c>
      <c r="E485">
        <f>VLOOKUP(C485,[2]FP!$C:$L,10,0)</f>
        <v>76</v>
      </c>
      <c r="F485">
        <f t="shared" si="20"/>
        <v>1</v>
      </c>
      <c r="G485">
        <f t="shared" si="19"/>
        <v>1.3157894736842105E-2</v>
      </c>
      <c r="H485" t="s">
        <v>9</v>
      </c>
    </row>
    <row r="486" spans="1:8">
      <c r="A486">
        <v>2023</v>
      </c>
      <c r="B486">
        <v>11</v>
      </c>
      <c r="C486" t="s">
        <v>26</v>
      </c>
      <c r="D486">
        <f>VLOOKUP(C486,[2]FP!$C:$P,14,0)</f>
        <v>59</v>
      </c>
      <c r="E486">
        <f>VLOOKUP(C486,[2]FP!$C:$L,10,0)</f>
        <v>67</v>
      </c>
      <c r="F486">
        <f t="shared" si="20"/>
        <v>-8</v>
      </c>
      <c r="G486">
        <f t="shared" si="19"/>
        <v>-0.11940298507462686</v>
      </c>
      <c r="H486" t="s">
        <v>9</v>
      </c>
    </row>
    <row r="487" spans="1:8">
      <c r="A487">
        <v>2023</v>
      </c>
      <c r="B487">
        <v>11</v>
      </c>
      <c r="C487" t="s">
        <v>27</v>
      </c>
      <c r="D487">
        <f>VLOOKUP(C487,[2]FP!$C:$P,14,0)</f>
        <v>109</v>
      </c>
      <c r="E487">
        <f>VLOOKUP(C487,[2]FP!$C:$L,10,0)</f>
        <v>109</v>
      </c>
      <c r="F487">
        <f t="shared" si="20"/>
        <v>0</v>
      </c>
      <c r="G487">
        <f t="shared" si="19"/>
        <v>0</v>
      </c>
      <c r="H487" t="s">
        <v>9</v>
      </c>
    </row>
    <row r="488" spans="1:8">
      <c r="A488">
        <v>2023</v>
      </c>
      <c r="B488">
        <v>11</v>
      </c>
      <c r="C488" t="s">
        <v>28</v>
      </c>
      <c r="D488">
        <f>VLOOKUP(C488,[2]FP!$C:$P,14,0)</f>
        <v>37</v>
      </c>
      <c r="E488">
        <f>VLOOKUP(C488,[2]FP!$C:$L,10,0)</f>
        <v>36</v>
      </c>
      <c r="F488">
        <f t="shared" si="20"/>
        <v>1</v>
      </c>
      <c r="G488">
        <f t="shared" si="19"/>
        <v>2.7777777777777776E-2</v>
      </c>
      <c r="H488" t="s">
        <v>9</v>
      </c>
    </row>
    <row r="489" spans="1:8">
      <c r="A489">
        <v>2023</v>
      </c>
      <c r="B489">
        <v>11</v>
      </c>
      <c r="C489" t="s">
        <v>29</v>
      </c>
      <c r="D489">
        <f>VLOOKUP(C489,[2]FP!$C:$P,14,0)</f>
        <v>45</v>
      </c>
      <c r="E489">
        <f>VLOOKUP(C489,[2]FP!$C:$L,10,0)</f>
        <v>44</v>
      </c>
      <c r="F489">
        <f t="shared" si="20"/>
        <v>1</v>
      </c>
      <c r="G489">
        <f t="shared" si="19"/>
        <v>2.2727272727272728E-2</v>
      </c>
      <c r="H489" t="s">
        <v>9</v>
      </c>
    </row>
    <row r="490" spans="1:8">
      <c r="A490">
        <v>2023</v>
      </c>
      <c r="B490">
        <v>11</v>
      </c>
      <c r="C490" t="s">
        <v>30</v>
      </c>
      <c r="D490">
        <f>VLOOKUP(C490,[2]FP!$C:$P,14,0)</f>
        <v>81</v>
      </c>
      <c r="E490">
        <f>VLOOKUP(C490,[2]FP!$C:$L,10,0)</f>
        <v>80</v>
      </c>
      <c r="F490">
        <f t="shared" si="20"/>
        <v>1</v>
      </c>
      <c r="G490">
        <f t="shared" si="19"/>
        <v>1.2500000000000001E-2</v>
      </c>
      <c r="H490" t="s">
        <v>9</v>
      </c>
    </row>
    <row r="491" spans="1:8">
      <c r="A491">
        <v>2023</v>
      </c>
      <c r="B491">
        <v>11</v>
      </c>
      <c r="C491" t="s">
        <v>31</v>
      </c>
      <c r="D491">
        <f>VLOOKUP(C491,[2]FP!$C:$P,14,0)</f>
        <v>52</v>
      </c>
      <c r="E491">
        <f>VLOOKUP(C491,[2]FP!$C:$L,10,0)</f>
        <v>46</v>
      </c>
      <c r="F491">
        <f t="shared" si="20"/>
        <v>6</v>
      </c>
      <c r="G491">
        <f t="shared" si="19"/>
        <v>0.13043478260869565</v>
      </c>
      <c r="H491" t="s">
        <v>9</v>
      </c>
    </row>
    <row r="492" spans="1:8">
      <c r="A492">
        <v>2023</v>
      </c>
      <c r="B492">
        <v>11</v>
      </c>
      <c r="C492" t="s">
        <v>32</v>
      </c>
      <c r="D492">
        <f>VLOOKUP(C492,[2]FP!$C:$P,14,0)</f>
        <v>61</v>
      </c>
      <c r="E492">
        <f>VLOOKUP(C492,[2]FP!$C:$L,10,0)</f>
        <v>55</v>
      </c>
      <c r="F492">
        <f t="shared" si="20"/>
        <v>6</v>
      </c>
      <c r="G492">
        <f t="shared" si="19"/>
        <v>0.10909090909090909</v>
      </c>
      <c r="H492" t="s">
        <v>9</v>
      </c>
    </row>
    <row r="493" spans="1:8">
      <c r="A493">
        <v>2023</v>
      </c>
      <c r="B493">
        <v>11</v>
      </c>
      <c r="C493" t="s">
        <v>33</v>
      </c>
      <c r="D493">
        <f>VLOOKUP(C493,[2]FP!$C:$P,14,0)</f>
        <v>32</v>
      </c>
      <c r="E493">
        <f>VLOOKUP(C493,[2]FP!$C:$L,10,0)</f>
        <v>30</v>
      </c>
      <c r="F493">
        <f t="shared" si="20"/>
        <v>2</v>
      </c>
      <c r="G493">
        <f t="shared" si="19"/>
        <v>6.6666666666666666E-2</v>
      </c>
      <c r="H493" t="s">
        <v>9</v>
      </c>
    </row>
    <row r="494" spans="1:8">
      <c r="A494">
        <v>2023</v>
      </c>
      <c r="B494">
        <v>11</v>
      </c>
      <c r="C494" t="s">
        <v>35</v>
      </c>
      <c r="D494">
        <f>VLOOKUP(C494,[2]FP!$C:$P,14,0)</f>
        <v>30</v>
      </c>
      <c r="E494">
        <f>VLOOKUP(C494,[2]FP!$C:$L,10,0)</f>
        <v>30</v>
      </c>
      <c r="F494">
        <f t="shared" si="20"/>
        <v>0</v>
      </c>
      <c r="G494">
        <f t="shared" si="19"/>
        <v>0</v>
      </c>
      <c r="H494" t="s">
        <v>9</v>
      </c>
    </row>
    <row r="495" spans="1:8">
      <c r="A495">
        <v>2023</v>
      </c>
      <c r="B495">
        <v>11</v>
      </c>
      <c r="C495" t="s">
        <v>15</v>
      </c>
      <c r="D495">
        <v>64</v>
      </c>
      <c r="E495">
        <v>61</v>
      </c>
      <c r="F495">
        <f t="shared" si="20"/>
        <v>3</v>
      </c>
      <c r="G495">
        <f t="shared" si="19"/>
        <v>4.9180327868852458E-2</v>
      </c>
      <c r="H495" t="s">
        <v>34</v>
      </c>
    </row>
    <row r="496" spans="1:8">
      <c r="A496">
        <v>2023</v>
      </c>
      <c r="B496">
        <v>12</v>
      </c>
      <c r="C496" t="s">
        <v>8</v>
      </c>
      <c r="D496">
        <f>VLOOKUP(C496,[3]FP!$C:$Q,15,0)</f>
        <v>15</v>
      </c>
      <c r="E496">
        <f>VLOOKUP(C496,[3]FP!$C:$M,11,0)</f>
        <v>11</v>
      </c>
      <c r="F496">
        <f t="shared" si="20"/>
        <v>4</v>
      </c>
      <c r="G496">
        <f t="shared" si="19"/>
        <v>0.36363636363636365</v>
      </c>
      <c r="H496" t="s">
        <v>9</v>
      </c>
    </row>
    <row r="497" spans="1:8">
      <c r="A497">
        <v>2023</v>
      </c>
      <c r="B497">
        <v>12</v>
      </c>
      <c r="C497" t="s">
        <v>10</v>
      </c>
      <c r="D497">
        <f>VLOOKUP(C497,[3]FP!$C:$Q,15,0)</f>
        <v>46</v>
      </c>
      <c r="E497">
        <f>VLOOKUP(C497,[3]FP!$C:$M,11,0)</f>
        <v>45</v>
      </c>
      <c r="F497">
        <f t="shared" si="20"/>
        <v>1</v>
      </c>
      <c r="G497">
        <f t="shared" si="19"/>
        <v>2.2222222222222223E-2</v>
      </c>
      <c r="H497" t="s">
        <v>9</v>
      </c>
    </row>
    <row r="498" spans="1:8">
      <c r="A498">
        <v>2023</v>
      </c>
      <c r="B498">
        <v>12</v>
      </c>
      <c r="C498" t="s">
        <v>11</v>
      </c>
      <c r="D498">
        <f>VLOOKUP(C498,[3]FP!$C:$Q,15,0)</f>
        <v>47</v>
      </c>
      <c r="E498">
        <f>VLOOKUP(C498,[3]FP!$C:$M,11,0)</f>
        <v>44</v>
      </c>
      <c r="F498">
        <f t="shared" si="20"/>
        <v>3</v>
      </c>
      <c r="G498">
        <f t="shared" si="19"/>
        <v>6.8181818181818177E-2</v>
      </c>
      <c r="H498" t="s">
        <v>9</v>
      </c>
    </row>
    <row r="499" spans="1:8">
      <c r="A499">
        <v>2023</v>
      </c>
      <c r="B499">
        <v>12</v>
      </c>
      <c r="C499" t="s">
        <v>12</v>
      </c>
      <c r="D499">
        <f>VLOOKUP(C499,[3]FP!$C:$Q,15,0)</f>
        <v>70</v>
      </c>
      <c r="E499">
        <f>VLOOKUP(C499,[3]FP!$C:$M,11,0)</f>
        <v>65</v>
      </c>
      <c r="F499">
        <f t="shared" si="20"/>
        <v>5</v>
      </c>
      <c r="G499">
        <f t="shared" si="19"/>
        <v>7.6923076923076927E-2</v>
      </c>
      <c r="H499" t="s">
        <v>9</v>
      </c>
    </row>
    <row r="500" spans="1:8">
      <c r="A500">
        <v>2023</v>
      </c>
      <c r="B500">
        <v>12</v>
      </c>
      <c r="C500" t="s">
        <v>13</v>
      </c>
      <c r="D500">
        <f>VLOOKUP(C500,[3]FP!$C:$Q,15,0)</f>
        <v>17</v>
      </c>
      <c r="E500">
        <f>VLOOKUP(C500,[3]FP!$C:$M,11,0)</f>
        <v>16</v>
      </c>
      <c r="F500">
        <f t="shared" si="20"/>
        <v>1</v>
      </c>
      <c r="G500">
        <f t="shared" ref="G500:G563" si="21">F500/E500</f>
        <v>6.25E-2</v>
      </c>
      <c r="H500" t="s">
        <v>9</v>
      </c>
    </row>
    <row r="501" spans="1:8">
      <c r="A501">
        <v>2023</v>
      </c>
      <c r="B501">
        <v>12</v>
      </c>
      <c r="C501" t="s">
        <v>14</v>
      </c>
      <c r="D501">
        <f>VLOOKUP(C501,[3]FP!$C:$Q,15,0)</f>
        <v>258</v>
      </c>
      <c r="E501">
        <f>VLOOKUP(C501,[3]FP!$C:$M,11,0)</f>
        <v>272</v>
      </c>
      <c r="F501">
        <f t="shared" si="20"/>
        <v>-14</v>
      </c>
      <c r="G501">
        <f t="shared" si="21"/>
        <v>-5.1470588235294115E-2</v>
      </c>
      <c r="H501" t="s">
        <v>9</v>
      </c>
    </row>
    <row r="502" spans="1:8">
      <c r="A502">
        <v>2023</v>
      </c>
      <c r="B502">
        <v>12</v>
      </c>
      <c r="C502" t="s">
        <v>15</v>
      </c>
      <c r="D502">
        <v>166</v>
      </c>
      <c r="E502">
        <v>162</v>
      </c>
      <c r="F502">
        <f t="shared" si="20"/>
        <v>4</v>
      </c>
      <c r="G502">
        <f t="shared" si="21"/>
        <v>2.4691358024691357E-2</v>
      </c>
      <c r="H502" t="s">
        <v>9</v>
      </c>
    </row>
    <row r="503" spans="1:8">
      <c r="A503">
        <v>2023</v>
      </c>
      <c r="B503">
        <v>12</v>
      </c>
      <c r="C503" t="s">
        <v>16</v>
      </c>
      <c r="D503">
        <f>VLOOKUP(C503,[3]FP!$C:$Q,15,0)</f>
        <v>39</v>
      </c>
      <c r="E503">
        <f>VLOOKUP(C503,[3]FP!$C:$M,11,0)</f>
        <v>37</v>
      </c>
      <c r="F503">
        <f t="shared" si="20"/>
        <v>2</v>
      </c>
      <c r="G503">
        <f t="shared" si="21"/>
        <v>5.4054054054054057E-2</v>
      </c>
      <c r="H503" t="s">
        <v>9</v>
      </c>
    </row>
    <row r="504" spans="1:8">
      <c r="A504">
        <v>2023</v>
      </c>
      <c r="B504">
        <v>12</v>
      </c>
      <c r="C504" t="s">
        <v>17</v>
      </c>
      <c r="D504">
        <f>VLOOKUP(C504,[3]FP!$C:$Q,15,0)</f>
        <v>43</v>
      </c>
      <c r="E504">
        <f>VLOOKUP(C504,[3]FP!$C:$M,11,0)</f>
        <v>40</v>
      </c>
      <c r="F504">
        <f t="shared" si="20"/>
        <v>3</v>
      </c>
      <c r="G504">
        <f t="shared" si="21"/>
        <v>7.4999999999999997E-2</v>
      </c>
      <c r="H504" t="s">
        <v>9</v>
      </c>
    </row>
    <row r="505" spans="1:8">
      <c r="A505">
        <v>2023</v>
      </c>
      <c r="B505">
        <v>12</v>
      </c>
      <c r="C505" t="s">
        <v>18</v>
      </c>
      <c r="D505">
        <f>VLOOKUP(C505,[3]FP!$C:$Q,15,0)</f>
        <v>58</v>
      </c>
      <c r="E505">
        <f>VLOOKUP(C505,[3]FP!$C:$M,11,0)</f>
        <v>63</v>
      </c>
      <c r="F505">
        <f t="shared" si="20"/>
        <v>-5</v>
      </c>
      <c r="G505">
        <f t="shared" si="21"/>
        <v>-7.9365079365079361E-2</v>
      </c>
      <c r="H505" t="s">
        <v>9</v>
      </c>
    </row>
    <row r="506" spans="1:8">
      <c r="A506">
        <v>2023</v>
      </c>
      <c r="B506">
        <v>12</v>
      </c>
      <c r="C506" t="s">
        <v>19</v>
      </c>
      <c r="D506">
        <f>VLOOKUP(C506,[3]FP!$C:$Q,15,0)</f>
        <v>85</v>
      </c>
      <c r="E506">
        <f>VLOOKUP(C506,[3]FP!$C:$M,11,0)</f>
        <v>81</v>
      </c>
      <c r="F506">
        <f t="shared" si="20"/>
        <v>4</v>
      </c>
      <c r="G506">
        <f t="shared" si="21"/>
        <v>4.9382716049382713E-2</v>
      </c>
      <c r="H506" t="s">
        <v>9</v>
      </c>
    </row>
    <row r="507" spans="1:8">
      <c r="A507">
        <v>2023</v>
      </c>
      <c r="B507">
        <v>12</v>
      </c>
      <c r="C507" t="s">
        <v>20</v>
      </c>
      <c r="D507">
        <f>VLOOKUP(C507,[3]FP!$C:$Q,15,0)</f>
        <v>32</v>
      </c>
      <c r="E507">
        <f>VLOOKUP(C507,[3]FP!$C:$M,11,0)</f>
        <v>29</v>
      </c>
      <c r="F507">
        <f t="shared" si="20"/>
        <v>3</v>
      </c>
      <c r="G507">
        <f t="shared" si="21"/>
        <v>0.10344827586206896</v>
      </c>
      <c r="H507" t="s">
        <v>9</v>
      </c>
    </row>
    <row r="508" spans="1:8">
      <c r="A508">
        <v>2023</v>
      </c>
      <c r="B508">
        <v>12</v>
      </c>
      <c r="C508" t="s">
        <v>21</v>
      </c>
      <c r="D508">
        <f>VLOOKUP(C508,[3]FP!$C:$Q,15,0)</f>
        <v>112</v>
      </c>
      <c r="E508">
        <f>VLOOKUP(C508,[3]FP!$C:$M,11,0)</f>
        <v>116</v>
      </c>
      <c r="F508">
        <f t="shared" si="20"/>
        <v>-4</v>
      </c>
      <c r="G508">
        <f t="shared" si="21"/>
        <v>-3.4482758620689655E-2</v>
      </c>
      <c r="H508" t="s">
        <v>9</v>
      </c>
    </row>
    <row r="509" spans="1:8">
      <c r="A509">
        <v>2023</v>
      </c>
      <c r="B509">
        <v>12</v>
      </c>
      <c r="C509" t="s">
        <v>22</v>
      </c>
      <c r="D509">
        <f>VLOOKUP(C509,[3]FP!$C:$Q,15,0)</f>
        <v>22</v>
      </c>
      <c r="E509">
        <f>VLOOKUP(C509,[3]FP!$C:$M,11,0)</f>
        <v>21</v>
      </c>
      <c r="F509">
        <f t="shared" si="20"/>
        <v>1</v>
      </c>
      <c r="G509">
        <f t="shared" si="21"/>
        <v>4.7619047619047616E-2</v>
      </c>
      <c r="H509" t="s">
        <v>9</v>
      </c>
    </row>
    <row r="510" spans="1:8">
      <c r="A510">
        <v>2023</v>
      </c>
      <c r="B510">
        <v>12</v>
      </c>
      <c r="C510" t="s">
        <v>23</v>
      </c>
      <c r="D510">
        <f>VLOOKUP(C510,[3]FP!$C:$Q,15,0)</f>
        <v>35</v>
      </c>
      <c r="E510">
        <f>VLOOKUP(C510,[3]FP!$C:$M,11,0)</f>
        <v>33</v>
      </c>
      <c r="F510">
        <f t="shared" si="20"/>
        <v>2</v>
      </c>
      <c r="G510">
        <f t="shared" si="21"/>
        <v>6.0606060606060608E-2</v>
      </c>
      <c r="H510" t="s">
        <v>9</v>
      </c>
    </row>
    <row r="511" spans="1:8">
      <c r="A511">
        <v>2023</v>
      </c>
      <c r="B511">
        <v>12</v>
      </c>
      <c r="C511" t="s">
        <v>24</v>
      </c>
      <c r="D511">
        <f>VLOOKUP(C511,[3]FP!$C:$Q,15,0)</f>
        <v>65</v>
      </c>
      <c r="E511">
        <f>VLOOKUP(C511,[3]FP!$C:$M,11,0)</f>
        <v>64</v>
      </c>
      <c r="F511">
        <f t="shared" si="20"/>
        <v>1</v>
      </c>
      <c r="G511">
        <f t="shared" si="21"/>
        <v>1.5625E-2</v>
      </c>
      <c r="H511" t="s">
        <v>9</v>
      </c>
    </row>
    <row r="512" spans="1:8">
      <c r="A512">
        <v>2023</v>
      </c>
      <c r="B512">
        <v>12</v>
      </c>
      <c r="C512" t="s">
        <v>25</v>
      </c>
      <c r="D512">
        <f>VLOOKUP(C512,[3]FP!$C:$Q,15,0)</f>
        <v>77</v>
      </c>
      <c r="E512">
        <f>VLOOKUP(C512,[3]FP!$C:$M,11,0)</f>
        <v>76</v>
      </c>
      <c r="F512">
        <f t="shared" si="20"/>
        <v>1</v>
      </c>
      <c r="G512">
        <f t="shared" si="21"/>
        <v>1.3157894736842105E-2</v>
      </c>
      <c r="H512" t="s">
        <v>9</v>
      </c>
    </row>
    <row r="513" spans="1:8">
      <c r="A513">
        <v>2023</v>
      </c>
      <c r="B513">
        <v>12</v>
      </c>
      <c r="C513" t="s">
        <v>26</v>
      </c>
      <c r="D513">
        <f>VLOOKUP(C513,[3]FP!$C:$Q,15,0)</f>
        <v>59</v>
      </c>
      <c r="E513">
        <f>VLOOKUP(C513,[3]FP!$C:$M,11,0)</f>
        <v>60</v>
      </c>
      <c r="F513">
        <f t="shared" si="20"/>
        <v>-1</v>
      </c>
      <c r="G513">
        <f t="shared" si="21"/>
        <v>-1.6666666666666666E-2</v>
      </c>
      <c r="H513" t="s">
        <v>9</v>
      </c>
    </row>
    <row r="514" spans="1:8">
      <c r="A514">
        <v>2023</v>
      </c>
      <c r="B514">
        <v>12</v>
      </c>
      <c r="C514" t="s">
        <v>27</v>
      </c>
      <c r="D514">
        <f>VLOOKUP(C514,[3]FP!$C:$Q,15,0)</f>
        <v>109</v>
      </c>
      <c r="E514">
        <f>VLOOKUP(C514,[3]FP!$C:$M,11,0)</f>
        <v>112</v>
      </c>
      <c r="F514">
        <f t="shared" si="20"/>
        <v>-3</v>
      </c>
      <c r="G514">
        <f t="shared" si="21"/>
        <v>-2.6785714285714284E-2</v>
      </c>
      <c r="H514" t="s">
        <v>9</v>
      </c>
    </row>
    <row r="515" spans="1:8">
      <c r="A515">
        <v>2023</v>
      </c>
      <c r="B515">
        <v>12</v>
      </c>
      <c r="C515" t="s">
        <v>28</v>
      </c>
      <c r="D515">
        <f>VLOOKUP(C515,[3]FP!$C:$Q,15,0)</f>
        <v>36</v>
      </c>
      <c r="E515">
        <f>VLOOKUP(C515,[3]FP!$C:$M,11,0)</f>
        <v>38</v>
      </c>
      <c r="F515">
        <f t="shared" si="20"/>
        <v>-2</v>
      </c>
      <c r="G515">
        <f t="shared" si="21"/>
        <v>-5.2631578947368418E-2</v>
      </c>
      <c r="H515" t="s">
        <v>9</v>
      </c>
    </row>
    <row r="516" spans="1:8">
      <c r="A516">
        <v>2023</v>
      </c>
      <c r="B516">
        <v>12</v>
      </c>
      <c r="C516" t="s">
        <v>29</v>
      </c>
      <c r="D516">
        <f>VLOOKUP(C516,[3]FP!$C:$Q,15,0)</f>
        <v>46</v>
      </c>
      <c r="E516">
        <f>VLOOKUP(C516,[3]FP!$C:$M,11,0)</f>
        <v>46</v>
      </c>
      <c r="F516">
        <f t="shared" si="20"/>
        <v>0</v>
      </c>
      <c r="G516">
        <f t="shared" si="21"/>
        <v>0</v>
      </c>
      <c r="H516" t="s">
        <v>9</v>
      </c>
    </row>
    <row r="517" spans="1:8">
      <c r="A517">
        <v>2023</v>
      </c>
      <c r="B517">
        <v>12</v>
      </c>
      <c r="C517" t="s">
        <v>30</v>
      </c>
      <c r="D517">
        <f>VLOOKUP(C517,[3]FP!$C:$Q,15,0)</f>
        <v>81</v>
      </c>
      <c r="E517">
        <f>VLOOKUP(C517,[3]FP!$C:$M,11,0)</f>
        <v>80</v>
      </c>
      <c r="F517">
        <f t="shared" si="20"/>
        <v>1</v>
      </c>
      <c r="G517">
        <f t="shared" si="21"/>
        <v>1.2500000000000001E-2</v>
      </c>
      <c r="H517" t="s">
        <v>9</v>
      </c>
    </row>
    <row r="518" spans="1:8">
      <c r="A518">
        <v>2023</v>
      </c>
      <c r="B518">
        <v>12</v>
      </c>
      <c r="C518" t="s">
        <v>31</v>
      </c>
      <c r="D518">
        <f>VLOOKUP(C518,[3]FP!$C:$Q,15,0)</f>
        <v>45</v>
      </c>
      <c r="E518">
        <f>VLOOKUP(C518,[3]FP!$C:$M,11,0)</f>
        <v>47</v>
      </c>
      <c r="F518">
        <f t="shared" si="20"/>
        <v>-2</v>
      </c>
      <c r="G518">
        <f t="shared" si="21"/>
        <v>-4.2553191489361701E-2</v>
      </c>
      <c r="H518" t="s">
        <v>9</v>
      </c>
    </row>
    <row r="519" spans="1:8">
      <c r="A519">
        <v>2023</v>
      </c>
      <c r="B519">
        <v>12</v>
      </c>
      <c r="C519" t="s">
        <v>32</v>
      </c>
      <c r="D519">
        <f>VLOOKUP(C519,[3]FP!$C:$Q,15,0)</f>
        <v>65</v>
      </c>
      <c r="E519">
        <f>VLOOKUP(C519,[3]FP!$C:$M,11,0)</f>
        <v>55</v>
      </c>
      <c r="F519">
        <f t="shared" si="20"/>
        <v>10</v>
      </c>
      <c r="G519">
        <f t="shared" si="21"/>
        <v>0.18181818181818182</v>
      </c>
      <c r="H519" t="s">
        <v>9</v>
      </c>
    </row>
    <row r="520" spans="1:8">
      <c r="A520">
        <v>2023</v>
      </c>
      <c r="B520">
        <v>12</v>
      </c>
      <c r="C520" t="s">
        <v>33</v>
      </c>
      <c r="D520">
        <f>VLOOKUP(C520,[3]FP!$C:$Q,15,0)</f>
        <v>32</v>
      </c>
      <c r="E520">
        <f>VLOOKUP(C520,[3]FP!$C:$M,11,0)</f>
        <v>32</v>
      </c>
      <c r="F520">
        <f t="shared" si="20"/>
        <v>0</v>
      </c>
      <c r="G520">
        <f t="shared" si="21"/>
        <v>0</v>
      </c>
      <c r="H520" t="s">
        <v>9</v>
      </c>
    </row>
    <row r="521" spans="1:8">
      <c r="A521">
        <v>2023</v>
      </c>
      <c r="B521">
        <v>12</v>
      </c>
      <c r="C521" t="s">
        <v>35</v>
      </c>
      <c r="D521">
        <f>VLOOKUP(C521,[3]FP!$C:$Q,15,0)</f>
        <v>30</v>
      </c>
      <c r="E521">
        <f>VLOOKUP(C521,[3]FP!$C:$M,11,0)</f>
        <v>31</v>
      </c>
      <c r="F521">
        <f t="shared" si="20"/>
        <v>-1</v>
      </c>
      <c r="G521">
        <f t="shared" si="21"/>
        <v>-3.2258064516129031E-2</v>
      </c>
      <c r="H521" t="s">
        <v>9</v>
      </c>
    </row>
    <row r="522" spans="1:8">
      <c r="A522">
        <v>2023</v>
      </c>
      <c r="B522">
        <v>12</v>
      </c>
      <c r="C522" t="s">
        <v>15</v>
      </c>
      <c r="D522">
        <v>64</v>
      </c>
      <c r="E522">
        <v>65</v>
      </c>
      <c r="F522">
        <f t="shared" si="20"/>
        <v>-1</v>
      </c>
      <c r="G522">
        <f t="shared" si="21"/>
        <v>-1.5384615384615385E-2</v>
      </c>
      <c r="H522" t="s">
        <v>34</v>
      </c>
    </row>
    <row r="523" spans="1:8">
      <c r="A523">
        <v>2024</v>
      </c>
      <c r="B523">
        <v>1</v>
      </c>
      <c r="C523" t="s">
        <v>8</v>
      </c>
      <c r="D523">
        <f>VLOOKUP(C523,[3]FP!$C:$Q,15,0)</f>
        <v>15</v>
      </c>
      <c r="E523">
        <f>VLOOKUP(C523,[3]FP!$C:$M,11,0)</f>
        <v>11</v>
      </c>
      <c r="F523">
        <f t="shared" si="20"/>
        <v>4</v>
      </c>
      <c r="G523">
        <f t="shared" si="21"/>
        <v>0.36363636363636365</v>
      </c>
      <c r="H523" t="s">
        <v>9</v>
      </c>
    </row>
    <row r="524" spans="1:8">
      <c r="A524">
        <v>2024</v>
      </c>
      <c r="B524">
        <v>1</v>
      </c>
      <c r="C524" t="s">
        <v>10</v>
      </c>
      <c r="D524">
        <f>VLOOKUP(C524,[3]FP!$C:$Q,15,0)</f>
        <v>46</v>
      </c>
      <c r="E524">
        <f>VLOOKUP(C524,[3]FP!$C:$M,11,0)</f>
        <v>45</v>
      </c>
      <c r="F524">
        <f t="shared" si="20"/>
        <v>1</v>
      </c>
      <c r="G524">
        <f t="shared" si="21"/>
        <v>2.2222222222222223E-2</v>
      </c>
      <c r="H524" t="s">
        <v>9</v>
      </c>
    </row>
    <row r="525" spans="1:8">
      <c r="A525">
        <v>2024</v>
      </c>
      <c r="B525">
        <v>1</v>
      </c>
      <c r="C525" t="s">
        <v>11</v>
      </c>
      <c r="D525">
        <f>VLOOKUP(C525,[3]FP!$C:$Q,15,0)</f>
        <v>47</v>
      </c>
      <c r="E525">
        <f>VLOOKUP(C525,[3]FP!$C:$M,11,0)</f>
        <v>44</v>
      </c>
      <c r="F525">
        <f t="shared" si="20"/>
        <v>3</v>
      </c>
      <c r="G525">
        <f t="shared" si="21"/>
        <v>6.8181818181818177E-2</v>
      </c>
      <c r="H525" t="s">
        <v>9</v>
      </c>
    </row>
    <row r="526" spans="1:8">
      <c r="A526">
        <v>2024</v>
      </c>
      <c r="B526">
        <v>1</v>
      </c>
      <c r="C526" t="s">
        <v>12</v>
      </c>
      <c r="D526">
        <f>VLOOKUP(C526,[3]FP!$C:$Q,15,0)</f>
        <v>70</v>
      </c>
      <c r="E526">
        <f>VLOOKUP(C526,[3]FP!$C:$M,11,0)</f>
        <v>65</v>
      </c>
      <c r="F526">
        <f t="shared" si="20"/>
        <v>5</v>
      </c>
      <c r="G526">
        <f t="shared" si="21"/>
        <v>7.6923076923076927E-2</v>
      </c>
      <c r="H526" t="s">
        <v>9</v>
      </c>
    </row>
    <row r="527" spans="1:8">
      <c r="A527">
        <v>2024</v>
      </c>
      <c r="B527">
        <v>1</v>
      </c>
      <c r="C527" t="s">
        <v>13</v>
      </c>
      <c r="D527">
        <f>VLOOKUP(C527,[3]FP!$C:$Q,15,0)</f>
        <v>17</v>
      </c>
      <c r="E527">
        <f>VLOOKUP(C527,[3]FP!$C:$M,11,0)</f>
        <v>16</v>
      </c>
      <c r="F527">
        <f t="shared" si="20"/>
        <v>1</v>
      </c>
      <c r="G527">
        <f t="shared" si="21"/>
        <v>6.25E-2</v>
      </c>
      <c r="H527" t="s">
        <v>9</v>
      </c>
    </row>
    <row r="528" spans="1:8">
      <c r="A528">
        <v>2024</v>
      </c>
      <c r="B528">
        <v>1</v>
      </c>
      <c r="C528" t="s">
        <v>14</v>
      </c>
      <c r="D528">
        <f>VLOOKUP(C528,[3]FP!$C:$Q,15,0)</f>
        <v>258</v>
      </c>
      <c r="E528">
        <f>VLOOKUP(C528,[3]FP!$C:$M,11,0)</f>
        <v>272</v>
      </c>
      <c r="F528">
        <f t="shared" si="20"/>
        <v>-14</v>
      </c>
      <c r="G528">
        <f t="shared" si="21"/>
        <v>-5.1470588235294115E-2</v>
      </c>
      <c r="H528" t="s">
        <v>9</v>
      </c>
    </row>
    <row r="529" spans="1:8">
      <c r="A529">
        <v>2024</v>
      </c>
      <c r="B529">
        <v>1</v>
      </c>
      <c r="C529" t="s">
        <v>15</v>
      </c>
      <c r="D529">
        <v>166</v>
      </c>
      <c r="E529">
        <v>162</v>
      </c>
      <c r="F529">
        <f t="shared" si="20"/>
        <v>4</v>
      </c>
      <c r="G529">
        <f t="shared" si="21"/>
        <v>2.4691358024691357E-2</v>
      </c>
      <c r="H529" t="s">
        <v>9</v>
      </c>
    </row>
    <row r="530" spans="1:8">
      <c r="A530">
        <v>2024</v>
      </c>
      <c r="B530">
        <v>1</v>
      </c>
      <c r="C530" t="s">
        <v>16</v>
      </c>
      <c r="D530">
        <f>VLOOKUP(C530,[3]FP!$C:$Q,15,0)</f>
        <v>39</v>
      </c>
      <c r="E530">
        <f>VLOOKUP(C530,[3]FP!$C:$M,11,0)</f>
        <v>37</v>
      </c>
      <c r="F530">
        <f t="shared" si="20"/>
        <v>2</v>
      </c>
      <c r="G530">
        <f t="shared" si="21"/>
        <v>5.4054054054054057E-2</v>
      </c>
      <c r="H530" t="s">
        <v>9</v>
      </c>
    </row>
    <row r="531" spans="1:8">
      <c r="A531">
        <v>2024</v>
      </c>
      <c r="B531">
        <v>1</v>
      </c>
      <c r="C531" t="s">
        <v>17</v>
      </c>
      <c r="D531">
        <f>VLOOKUP(C531,[3]FP!$C:$Q,15,0)</f>
        <v>43</v>
      </c>
      <c r="E531">
        <f>VLOOKUP(C531,[3]FP!$C:$M,11,0)</f>
        <v>40</v>
      </c>
      <c r="F531">
        <f t="shared" si="20"/>
        <v>3</v>
      </c>
      <c r="G531">
        <f t="shared" si="21"/>
        <v>7.4999999999999997E-2</v>
      </c>
      <c r="H531" t="s">
        <v>9</v>
      </c>
    </row>
    <row r="532" spans="1:8">
      <c r="A532">
        <v>2024</v>
      </c>
      <c r="B532">
        <v>1</v>
      </c>
      <c r="C532" t="s">
        <v>18</v>
      </c>
      <c r="D532">
        <f>VLOOKUP(C532,[3]FP!$C:$Q,15,0)</f>
        <v>58</v>
      </c>
      <c r="E532">
        <f>VLOOKUP(C532,[3]FP!$C:$M,11,0)</f>
        <v>63</v>
      </c>
      <c r="F532">
        <f t="shared" si="20"/>
        <v>-5</v>
      </c>
      <c r="G532">
        <f t="shared" si="21"/>
        <v>-7.9365079365079361E-2</v>
      </c>
      <c r="H532" t="s">
        <v>9</v>
      </c>
    </row>
    <row r="533" spans="1:8">
      <c r="A533">
        <v>2024</v>
      </c>
      <c r="B533">
        <v>1</v>
      </c>
      <c r="C533" t="s">
        <v>19</v>
      </c>
      <c r="D533">
        <f>VLOOKUP(C533,[3]FP!$C:$Q,15,0)</f>
        <v>85</v>
      </c>
      <c r="E533">
        <f>VLOOKUP(C533,[3]FP!$C:$M,11,0)</f>
        <v>81</v>
      </c>
      <c r="F533">
        <f t="shared" si="20"/>
        <v>4</v>
      </c>
      <c r="G533">
        <f t="shared" si="21"/>
        <v>4.9382716049382713E-2</v>
      </c>
      <c r="H533" t="s">
        <v>9</v>
      </c>
    </row>
    <row r="534" spans="1:8">
      <c r="A534">
        <v>2024</v>
      </c>
      <c r="B534">
        <v>1</v>
      </c>
      <c r="C534" t="s">
        <v>20</v>
      </c>
      <c r="D534">
        <f>VLOOKUP(C534,[3]FP!$C:$Q,15,0)</f>
        <v>32</v>
      </c>
      <c r="E534">
        <f>VLOOKUP(C534,[3]FP!$C:$M,11,0)</f>
        <v>29</v>
      </c>
      <c r="F534">
        <f t="shared" si="20"/>
        <v>3</v>
      </c>
      <c r="G534">
        <f t="shared" si="21"/>
        <v>0.10344827586206896</v>
      </c>
      <c r="H534" t="s">
        <v>9</v>
      </c>
    </row>
    <row r="535" spans="1:8">
      <c r="A535">
        <v>2024</v>
      </c>
      <c r="B535">
        <v>1</v>
      </c>
      <c r="C535" t="s">
        <v>21</v>
      </c>
      <c r="D535">
        <f>VLOOKUP(C535,[3]FP!$C:$Q,15,0)</f>
        <v>112</v>
      </c>
      <c r="E535">
        <f>VLOOKUP(C535,[3]FP!$C:$M,11,0)</f>
        <v>116</v>
      </c>
      <c r="F535">
        <f t="shared" si="20"/>
        <v>-4</v>
      </c>
      <c r="G535">
        <f t="shared" si="21"/>
        <v>-3.4482758620689655E-2</v>
      </c>
      <c r="H535" t="s">
        <v>9</v>
      </c>
    </row>
    <row r="536" spans="1:8">
      <c r="A536">
        <v>2024</v>
      </c>
      <c r="B536">
        <v>1</v>
      </c>
      <c r="C536" t="s">
        <v>22</v>
      </c>
      <c r="D536">
        <f>VLOOKUP(C536,[3]FP!$C:$Q,15,0)</f>
        <v>22</v>
      </c>
      <c r="E536">
        <f>VLOOKUP(C536,[3]FP!$C:$M,11,0)</f>
        <v>21</v>
      </c>
      <c r="F536">
        <f t="shared" si="20"/>
        <v>1</v>
      </c>
      <c r="G536">
        <f t="shared" si="21"/>
        <v>4.7619047619047616E-2</v>
      </c>
      <c r="H536" t="s">
        <v>9</v>
      </c>
    </row>
    <row r="537" spans="1:8">
      <c r="A537">
        <v>2024</v>
      </c>
      <c r="B537">
        <v>1</v>
      </c>
      <c r="C537" t="s">
        <v>23</v>
      </c>
      <c r="D537">
        <f>VLOOKUP(C537,[3]FP!$C:$Q,15,0)</f>
        <v>35</v>
      </c>
      <c r="E537">
        <f>VLOOKUP(C537,[3]FP!$C:$M,11,0)</f>
        <v>33</v>
      </c>
      <c r="F537">
        <f t="shared" si="20"/>
        <v>2</v>
      </c>
      <c r="G537">
        <f t="shared" si="21"/>
        <v>6.0606060606060608E-2</v>
      </c>
      <c r="H537" t="s">
        <v>9</v>
      </c>
    </row>
    <row r="538" spans="1:8">
      <c r="A538">
        <v>2024</v>
      </c>
      <c r="B538">
        <v>1</v>
      </c>
      <c r="C538" t="s">
        <v>24</v>
      </c>
      <c r="D538">
        <f>VLOOKUP(C538,[3]FP!$C:$Q,15,0)</f>
        <v>65</v>
      </c>
      <c r="E538">
        <f>VLOOKUP(C538,[3]FP!$C:$M,11,0)</f>
        <v>64</v>
      </c>
      <c r="F538">
        <f t="shared" si="20"/>
        <v>1</v>
      </c>
      <c r="G538">
        <f t="shared" si="21"/>
        <v>1.5625E-2</v>
      </c>
      <c r="H538" t="s">
        <v>9</v>
      </c>
    </row>
    <row r="539" spans="1:8">
      <c r="A539">
        <v>2024</v>
      </c>
      <c r="B539">
        <v>1</v>
      </c>
      <c r="C539" t="s">
        <v>25</v>
      </c>
      <c r="D539">
        <f>VLOOKUP(C539,[3]FP!$C:$Q,15,0)</f>
        <v>77</v>
      </c>
      <c r="E539">
        <f>VLOOKUP(C539,[3]FP!$C:$M,11,0)</f>
        <v>76</v>
      </c>
      <c r="F539">
        <f t="shared" si="20"/>
        <v>1</v>
      </c>
      <c r="G539">
        <f t="shared" si="21"/>
        <v>1.3157894736842105E-2</v>
      </c>
      <c r="H539" t="s">
        <v>9</v>
      </c>
    </row>
    <row r="540" spans="1:8">
      <c r="A540">
        <v>2024</v>
      </c>
      <c r="B540">
        <v>1</v>
      </c>
      <c r="C540" t="s">
        <v>26</v>
      </c>
      <c r="D540">
        <f>VLOOKUP(C540,[3]FP!$C:$Q,15,0)</f>
        <v>59</v>
      </c>
      <c r="E540">
        <f>VLOOKUP(C540,[3]FP!$C:$M,11,0)</f>
        <v>60</v>
      </c>
      <c r="F540">
        <f t="shared" ref="F540:F593" si="22">D540-E540</f>
        <v>-1</v>
      </c>
      <c r="G540">
        <f t="shared" si="21"/>
        <v>-1.6666666666666666E-2</v>
      </c>
      <c r="H540" t="s">
        <v>9</v>
      </c>
    </row>
    <row r="541" spans="1:8">
      <c r="A541">
        <v>2024</v>
      </c>
      <c r="B541">
        <v>1</v>
      </c>
      <c r="C541" t="s">
        <v>27</v>
      </c>
      <c r="D541">
        <f>VLOOKUP(C541,[3]FP!$C:$Q,15,0)</f>
        <v>109</v>
      </c>
      <c r="E541">
        <f>VLOOKUP(C541,[3]FP!$C:$M,11,0)</f>
        <v>112</v>
      </c>
      <c r="F541">
        <f t="shared" si="22"/>
        <v>-3</v>
      </c>
      <c r="G541">
        <f t="shared" si="21"/>
        <v>-2.6785714285714284E-2</v>
      </c>
      <c r="H541" t="s">
        <v>9</v>
      </c>
    </row>
    <row r="542" spans="1:8">
      <c r="A542">
        <v>2024</v>
      </c>
      <c r="B542">
        <v>1</v>
      </c>
      <c r="C542" t="s">
        <v>28</v>
      </c>
      <c r="D542">
        <f>VLOOKUP(C542,[3]FP!$C:$Q,15,0)</f>
        <v>36</v>
      </c>
      <c r="E542">
        <f>VLOOKUP(C542,[3]FP!$C:$M,11,0)</f>
        <v>38</v>
      </c>
      <c r="F542">
        <f t="shared" si="22"/>
        <v>-2</v>
      </c>
      <c r="G542">
        <f t="shared" si="21"/>
        <v>-5.2631578947368418E-2</v>
      </c>
      <c r="H542" t="s">
        <v>9</v>
      </c>
    </row>
    <row r="543" spans="1:8">
      <c r="A543">
        <v>2024</v>
      </c>
      <c r="B543">
        <v>1</v>
      </c>
      <c r="C543" t="s">
        <v>29</v>
      </c>
      <c r="D543">
        <f>VLOOKUP(C543,[3]FP!$C:$Q,15,0)</f>
        <v>46</v>
      </c>
      <c r="E543">
        <f>VLOOKUP(C543,[3]FP!$C:$M,11,0)</f>
        <v>46</v>
      </c>
      <c r="F543">
        <f t="shared" si="22"/>
        <v>0</v>
      </c>
      <c r="G543">
        <f t="shared" si="21"/>
        <v>0</v>
      </c>
      <c r="H543" t="s">
        <v>9</v>
      </c>
    </row>
    <row r="544" spans="1:8">
      <c r="A544">
        <v>2024</v>
      </c>
      <c r="B544">
        <v>1</v>
      </c>
      <c r="C544" t="s">
        <v>30</v>
      </c>
      <c r="D544">
        <f>VLOOKUP(C544,[3]FP!$C:$Q,15,0)</f>
        <v>81</v>
      </c>
      <c r="E544">
        <f>VLOOKUP(C544,[3]FP!$C:$M,11,0)</f>
        <v>80</v>
      </c>
      <c r="F544">
        <f t="shared" si="22"/>
        <v>1</v>
      </c>
      <c r="G544">
        <f t="shared" si="21"/>
        <v>1.2500000000000001E-2</v>
      </c>
      <c r="H544" t="s">
        <v>9</v>
      </c>
    </row>
    <row r="545" spans="1:8">
      <c r="A545">
        <v>2024</v>
      </c>
      <c r="B545">
        <v>1</v>
      </c>
      <c r="C545" t="s">
        <v>31</v>
      </c>
      <c r="D545">
        <f>VLOOKUP(C545,[3]FP!$C:$Q,15,0)</f>
        <v>45</v>
      </c>
      <c r="E545">
        <f>VLOOKUP(C545,[3]FP!$C:$M,11,0)</f>
        <v>47</v>
      </c>
      <c r="F545">
        <f t="shared" si="22"/>
        <v>-2</v>
      </c>
      <c r="G545">
        <f t="shared" si="21"/>
        <v>-4.2553191489361701E-2</v>
      </c>
      <c r="H545" t="s">
        <v>9</v>
      </c>
    </row>
    <row r="546" spans="1:8">
      <c r="A546">
        <v>2024</v>
      </c>
      <c r="B546">
        <v>1</v>
      </c>
      <c r="C546" t="s">
        <v>32</v>
      </c>
      <c r="D546">
        <f>VLOOKUP(C546,[3]FP!$C:$Q,15,0)</f>
        <v>65</v>
      </c>
      <c r="E546">
        <f>VLOOKUP(C546,[3]FP!$C:$M,11,0)</f>
        <v>55</v>
      </c>
      <c r="F546">
        <f t="shared" si="22"/>
        <v>10</v>
      </c>
      <c r="G546">
        <f t="shared" si="21"/>
        <v>0.18181818181818182</v>
      </c>
      <c r="H546" t="s">
        <v>9</v>
      </c>
    </row>
    <row r="547" spans="1:8">
      <c r="A547">
        <v>2024</v>
      </c>
      <c r="B547">
        <v>1</v>
      </c>
      <c r="C547" t="s">
        <v>33</v>
      </c>
      <c r="D547">
        <f>VLOOKUP(C547,[3]FP!$C:$Q,15,0)</f>
        <v>32</v>
      </c>
      <c r="E547">
        <f>VLOOKUP(C547,[3]FP!$C:$M,11,0)</f>
        <v>32</v>
      </c>
      <c r="F547">
        <f t="shared" si="22"/>
        <v>0</v>
      </c>
      <c r="G547">
        <f t="shared" si="21"/>
        <v>0</v>
      </c>
      <c r="H547" t="s">
        <v>9</v>
      </c>
    </row>
    <row r="548" spans="1:8">
      <c r="A548">
        <v>2024</v>
      </c>
      <c r="B548">
        <v>1</v>
      </c>
      <c r="C548" t="s">
        <v>35</v>
      </c>
      <c r="D548">
        <f>VLOOKUP(C548,[3]FP!$C:$Q,15,0)</f>
        <v>30</v>
      </c>
      <c r="E548">
        <f>VLOOKUP(C548,[3]FP!$C:$M,11,0)</f>
        <v>31</v>
      </c>
      <c r="F548">
        <f t="shared" si="22"/>
        <v>-1</v>
      </c>
      <c r="G548">
        <f t="shared" si="21"/>
        <v>-3.2258064516129031E-2</v>
      </c>
      <c r="H548" t="s">
        <v>9</v>
      </c>
    </row>
    <row r="549" spans="1:8">
      <c r="A549">
        <v>2024</v>
      </c>
      <c r="B549">
        <v>1</v>
      </c>
      <c r="C549" t="s">
        <v>15</v>
      </c>
      <c r="D549">
        <v>64</v>
      </c>
      <c r="E549">
        <v>65</v>
      </c>
      <c r="F549">
        <f t="shared" si="22"/>
        <v>-1</v>
      </c>
      <c r="G549">
        <f t="shared" si="21"/>
        <v>-1.5384615384615385E-2</v>
      </c>
      <c r="H549" t="s">
        <v>34</v>
      </c>
    </row>
    <row r="550" spans="1:8">
      <c r="A550">
        <v>2024</v>
      </c>
      <c r="B550">
        <v>2</v>
      </c>
      <c r="C550" t="s">
        <v>8</v>
      </c>
      <c r="D550">
        <f>VLOOKUP(C550,[3]FP!$C:$Q,15,0)</f>
        <v>15</v>
      </c>
      <c r="E550">
        <f>VLOOKUP(C550,[3]FP!$C:$M,11,0)</f>
        <v>11</v>
      </c>
      <c r="F550">
        <f t="shared" si="22"/>
        <v>4</v>
      </c>
      <c r="G550">
        <f t="shared" si="21"/>
        <v>0.36363636363636365</v>
      </c>
      <c r="H550" t="s">
        <v>9</v>
      </c>
    </row>
    <row r="551" spans="1:8">
      <c r="A551">
        <v>2024</v>
      </c>
      <c r="B551">
        <v>2</v>
      </c>
      <c r="C551" t="s">
        <v>10</v>
      </c>
      <c r="D551">
        <f>VLOOKUP(C551,[3]FP!$C:$Q,15,0)</f>
        <v>46</v>
      </c>
      <c r="E551">
        <f>VLOOKUP(C551,[3]FP!$C:$M,11,0)</f>
        <v>45</v>
      </c>
      <c r="F551">
        <f t="shared" si="22"/>
        <v>1</v>
      </c>
      <c r="G551">
        <f t="shared" si="21"/>
        <v>2.2222222222222223E-2</v>
      </c>
      <c r="H551" t="s">
        <v>9</v>
      </c>
    </row>
    <row r="552" spans="1:8">
      <c r="A552">
        <v>2024</v>
      </c>
      <c r="B552">
        <v>2</v>
      </c>
      <c r="C552" t="s">
        <v>11</v>
      </c>
      <c r="D552">
        <f>VLOOKUP(C552,[3]FP!$C:$Q,15,0)</f>
        <v>47</v>
      </c>
      <c r="E552">
        <f>VLOOKUP(C552,[3]FP!$C:$M,11,0)</f>
        <v>44</v>
      </c>
      <c r="F552">
        <f t="shared" si="22"/>
        <v>3</v>
      </c>
      <c r="G552">
        <f t="shared" si="21"/>
        <v>6.8181818181818177E-2</v>
      </c>
      <c r="H552" t="s">
        <v>9</v>
      </c>
    </row>
    <row r="553" spans="1:8">
      <c r="A553">
        <v>2024</v>
      </c>
      <c r="B553">
        <v>2</v>
      </c>
      <c r="C553" t="s">
        <v>12</v>
      </c>
      <c r="D553">
        <f>VLOOKUP(C553,[3]FP!$C:$Q,15,0)</f>
        <v>70</v>
      </c>
      <c r="E553">
        <f>VLOOKUP(C553,[3]FP!$C:$M,11,0)</f>
        <v>65</v>
      </c>
      <c r="F553">
        <f t="shared" si="22"/>
        <v>5</v>
      </c>
      <c r="G553">
        <f t="shared" si="21"/>
        <v>7.6923076923076927E-2</v>
      </c>
      <c r="H553" t="s">
        <v>9</v>
      </c>
    </row>
    <row r="554" spans="1:8">
      <c r="A554">
        <v>2024</v>
      </c>
      <c r="B554">
        <v>2</v>
      </c>
      <c r="C554" t="s">
        <v>13</v>
      </c>
      <c r="D554">
        <f>VLOOKUP(C554,[3]FP!$C:$Q,15,0)</f>
        <v>17</v>
      </c>
      <c r="E554">
        <f>VLOOKUP(C554,[3]FP!$C:$M,11,0)</f>
        <v>16</v>
      </c>
      <c r="F554">
        <f t="shared" si="22"/>
        <v>1</v>
      </c>
      <c r="G554">
        <f t="shared" si="21"/>
        <v>6.25E-2</v>
      </c>
      <c r="H554" t="s">
        <v>9</v>
      </c>
    </row>
    <row r="555" spans="1:8">
      <c r="A555">
        <v>2024</v>
      </c>
      <c r="B555">
        <v>2</v>
      </c>
      <c r="C555" t="s">
        <v>14</v>
      </c>
      <c r="D555">
        <f>VLOOKUP(C555,[3]FP!$C:$Q,15,0)</f>
        <v>258</v>
      </c>
      <c r="E555">
        <f>VLOOKUP(C555,[3]FP!$C:$M,11,0)</f>
        <v>272</v>
      </c>
      <c r="F555">
        <f t="shared" si="22"/>
        <v>-14</v>
      </c>
      <c r="G555">
        <f t="shared" si="21"/>
        <v>-5.1470588235294115E-2</v>
      </c>
      <c r="H555" t="s">
        <v>9</v>
      </c>
    </row>
    <row r="556" spans="1:8">
      <c r="A556">
        <v>2024</v>
      </c>
      <c r="B556">
        <v>2</v>
      </c>
      <c r="C556" t="s">
        <v>15</v>
      </c>
      <c r="D556">
        <v>166</v>
      </c>
      <c r="E556">
        <v>162</v>
      </c>
      <c r="F556">
        <f t="shared" si="22"/>
        <v>4</v>
      </c>
      <c r="G556">
        <f t="shared" si="21"/>
        <v>2.4691358024691357E-2</v>
      </c>
      <c r="H556" t="s">
        <v>9</v>
      </c>
    </row>
    <row r="557" spans="1:8">
      <c r="A557">
        <v>2024</v>
      </c>
      <c r="B557">
        <v>2</v>
      </c>
      <c r="C557" t="s">
        <v>16</v>
      </c>
      <c r="D557">
        <f>VLOOKUP(C557,[3]FP!$C:$Q,15,0)</f>
        <v>39</v>
      </c>
      <c r="E557">
        <f>VLOOKUP(C557,[3]FP!$C:$M,11,0)</f>
        <v>37</v>
      </c>
      <c r="F557">
        <f t="shared" si="22"/>
        <v>2</v>
      </c>
      <c r="G557">
        <f t="shared" si="21"/>
        <v>5.4054054054054057E-2</v>
      </c>
      <c r="H557" t="s">
        <v>9</v>
      </c>
    </row>
    <row r="558" spans="1:8">
      <c r="A558">
        <v>2024</v>
      </c>
      <c r="B558">
        <v>2</v>
      </c>
      <c r="C558" t="s">
        <v>17</v>
      </c>
      <c r="D558">
        <f>VLOOKUP(C558,[3]FP!$C:$Q,15,0)</f>
        <v>43</v>
      </c>
      <c r="E558">
        <f>VLOOKUP(C558,[3]FP!$C:$M,11,0)</f>
        <v>40</v>
      </c>
      <c r="F558">
        <f t="shared" si="22"/>
        <v>3</v>
      </c>
      <c r="G558">
        <f t="shared" si="21"/>
        <v>7.4999999999999997E-2</v>
      </c>
      <c r="H558" t="s">
        <v>9</v>
      </c>
    </row>
    <row r="559" spans="1:8">
      <c r="A559">
        <v>2024</v>
      </c>
      <c r="B559">
        <v>2</v>
      </c>
      <c r="C559" t="s">
        <v>18</v>
      </c>
      <c r="D559">
        <f>VLOOKUP(C559,[3]FP!$C:$Q,15,0)</f>
        <v>58</v>
      </c>
      <c r="E559">
        <f>VLOOKUP(C559,[3]FP!$C:$M,11,0)</f>
        <v>63</v>
      </c>
      <c r="F559">
        <f t="shared" si="22"/>
        <v>-5</v>
      </c>
      <c r="G559">
        <f t="shared" si="21"/>
        <v>-7.9365079365079361E-2</v>
      </c>
      <c r="H559" t="s">
        <v>9</v>
      </c>
    </row>
    <row r="560" spans="1:8">
      <c r="A560">
        <v>2024</v>
      </c>
      <c r="B560">
        <v>2</v>
      </c>
      <c r="C560" t="s">
        <v>19</v>
      </c>
      <c r="D560">
        <f>VLOOKUP(C560,[3]FP!$C:$Q,15,0)</f>
        <v>85</v>
      </c>
      <c r="E560">
        <f>VLOOKUP(C560,[3]FP!$C:$M,11,0)</f>
        <v>81</v>
      </c>
      <c r="F560">
        <f t="shared" si="22"/>
        <v>4</v>
      </c>
      <c r="G560">
        <f t="shared" si="21"/>
        <v>4.9382716049382713E-2</v>
      </c>
      <c r="H560" t="s">
        <v>9</v>
      </c>
    </row>
    <row r="561" spans="1:8">
      <c r="A561">
        <v>2024</v>
      </c>
      <c r="B561">
        <v>2</v>
      </c>
      <c r="C561" t="s">
        <v>20</v>
      </c>
      <c r="D561">
        <f>VLOOKUP(C561,[3]FP!$C:$Q,15,0)</f>
        <v>32</v>
      </c>
      <c r="E561">
        <f>VLOOKUP(C561,[3]FP!$C:$M,11,0)</f>
        <v>29</v>
      </c>
      <c r="F561">
        <f t="shared" si="22"/>
        <v>3</v>
      </c>
      <c r="G561">
        <f t="shared" si="21"/>
        <v>0.10344827586206896</v>
      </c>
      <c r="H561" t="s">
        <v>9</v>
      </c>
    </row>
    <row r="562" spans="1:8">
      <c r="A562">
        <v>2024</v>
      </c>
      <c r="B562">
        <v>2</v>
      </c>
      <c r="C562" t="s">
        <v>21</v>
      </c>
      <c r="D562">
        <f>VLOOKUP(C562,[3]FP!$C:$Q,15,0)</f>
        <v>112</v>
      </c>
      <c r="E562">
        <f>VLOOKUP(C562,[3]FP!$C:$M,11,0)</f>
        <v>116</v>
      </c>
      <c r="F562">
        <f t="shared" si="22"/>
        <v>-4</v>
      </c>
      <c r="G562">
        <f t="shared" si="21"/>
        <v>-3.4482758620689655E-2</v>
      </c>
      <c r="H562" t="s">
        <v>9</v>
      </c>
    </row>
    <row r="563" spans="1:8">
      <c r="A563">
        <v>2024</v>
      </c>
      <c r="B563">
        <v>2</v>
      </c>
      <c r="C563" t="s">
        <v>22</v>
      </c>
      <c r="D563">
        <f>VLOOKUP(C563,[3]FP!$C:$Q,15,0)</f>
        <v>22</v>
      </c>
      <c r="E563">
        <f>VLOOKUP(C563,[3]FP!$C:$M,11,0)</f>
        <v>21</v>
      </c>
      <c r="F563">
        <f t="shared" si="22"/>
        <v>1</v>
      </c>
      <c r="G563">
        <f t="shared" si="21"/>
        <v>4.7619047619047616E-2</v>
      </c>
      <c r="H563" t="s">
        <v>9</v>
      </c>
    </row>
    <row r="564" spans="1:8">
      <c r="A564">
        <v>2024</v>
      </c>
      <c r="B564">
        <v>2</v>
      </c>
      <c r="C564" t="s">
        <v>23</v>
      </c>
      <c r="D564">
        <f>VLOOKUP(C564,[3]FP!$C:$Q,15,0)</f>
        <v>35</v>
      </c>
      <c r="E564">
        <f>VLOOKUP(C564,[3]FP!$C:$M,11,0)</f>
        <v>33</v>
      </c>
      <c r="F564">
        <f t="shared" si="22"/>
        <v>2</v>
      </c>
      <c r="G564">
        <f t="shared" ref="G564:G603" si="23">F564/E564</f>
        <v>6.0606060606060608E-2</v>
      </c>
      <c r="H564" t="s">
        <v>9</v>
      </c>
    </row>
    <row r="565" spans="1:8">
      <c r="A565">
        <v>2024</v>
      </c>
      <c r="B565">
        <v>2</v>
      </c>
      <c r="C565" t="s">
        <v>24</v>
      </c>
      <c r="D565">
        <f>VLOOKUP(C565,[3]FP!$C:$Q,15,0)</f>
        <v>65</v>
      </c>
      <c r="E565">
        <f>VLOOKUP(C565,[3]FP!$C:$M,11,0)</f>
        <v>64</v>
      </c>
      <c r="F565">
        <f t="shared" si="22"/>
        <v>1</v>
      </c>
      <c r="G565">
        <f t="shared" si="23"/>
        <v>1.5625E-2</v>
      </c>
      <c r="H565" t="s">
        <v>9</v>
      </c>
    </row>
    <row r="566" spans="1:8">
      <c r="A566">
        <v>2024</v>
      </c>
      <c r="B566">
        <v>2</v>
      </c>
      <c r="C566" t="s">
        <v>25</v>
      </c>
      <c r="D566">
        <f>VLOOKUP(C566,[3]FP!$C:$Q,15,0)</f>
        <v>77</v>
      </c>
      <c r="E566">
        <f>VLOOKUP(C566,[3]FP!$C:$M,11,0)</f>
        <v>76</v>
      </c>
      <c r="F566">
        <f t="shared" si="22"/>
        <v>1</v>
      </c>
      <c r="G566">
        <f t="shared" si="23"/>
        <v>1.3157894736842105E-2</v>
      </c>
      <c r="H566" t="s">
        <v>9</v>
      </c>
    </row>
    <row r="567" spans="1:8">
      <c r="A567">
        <v>2024</v>
      </c>
      <c r="B567">
        <v>2</v>
      </c>
      <c r="C567" t="s">
        <v>26</v>
      </c>
      <c r="D567">
        <f>VLOOKUP(C567,[3]FP!$C:$Q,15,0)</f>
        <v>59</v>
      </c>
      <c r="E567">
        <f>VLOOKUP(C567,[3]FP!$C:$M,11,0)</f>
        <v>60</v>
      </c>
      <c r="F567">
        <f t="shared" si="22"/>
        <v>-1</v>
      </c>
      <c r="G567">
        <f t="shared" si="23"/>
        <v>-1.6666666666666666E-2</v>
      </c>
      <c r="H567" t="s">
        <v>9</v>
      </c>
    </row>
    <row r="568" spans="1:8">
      <c r="A568">
        <v>2024</v>
      </c>
      <c r="B568">
        <v>2</v>
      </c>
      <c r="C568" t="s">
        <v>27</v>
      </c>
      <c r="D568">
        <f>VLOOKUP(C568,[3]FP!$C:$Q,15,0)</f>
        <v>109</v>
      </c>
      <c r="E568">
        <f>VLOOKUP(C568,[3]FP!$C:$M,11,0)</f>
        <v>112</v>
      </c>
      <c r="F568">
        <f t="shared" si="22"/>
        <v>-3</v>
      </c>
      <c r="G568">
        <f t="shared" si="23"/>
        <v>-2.6785714285714284E-2</v>
      </c>
      <c r="H568" t="s">
        <v>9</v>
      </c>
    </row>
    <row r="569" spans="1:8">
      <c r="A569">
        <v>2024</v>
      </c>
      <c r="B569">
        <v>2</v>
      </c>
      <c r="C569" t="s">
        <v>28</v>
      </c>
      <c r="D569">
        <f>VLOOKUP(C569,[3]FP!$C:$Q,15,0)</f>
        <v>36</v>
      </c>
      <c r="E569">
        <f>VLOOKUP(C569,[3]FP!$C:$M,11,0)</f>
        <v>38</v>
      </c>
      <c r="F569">
        <f t="shared" si="22"/>
        <v>-2</v>
      </c>
      <c r="G569">
        <f t="shared" si="23"/>
        <v>-5.2631578947368418E-2</v>
      </c>
      <c r="H569" t="s">
        <v>9</v>
      </c>
    </row>
    <row r="570" spans="1:8">
      <c r="A570">
        <v>2024</v>
      </c>
      <c r="B570">
        <v>2</v>
      </c>
      <c r="C570" t="s">
        <v>29</v>
      </c>
      <c r="D570">
        <f>VLOOKUP(C570,[3]FP!$C:$Q,15,0)</f>
        <v>46</v>
      </c>
      <c r="E570">
        <f>VLOOKUP(C570,[3]FP!$C:$M,11,0)</f>
        <v>46</v>
      </c>
      <c r="F570">
        <f t="shared" si="22"/>
        <v>0</v>
      </c>
      <c r="G570">
        <f t="shared" si="23"/>
        <v>0</v>
      </c>
      <c r="H570" t="s">
        <v>9</v>
      </c>
    </row>
    <row r="571" spans="1:8">
      <c r="A571">
        <v>2024</v>
      </c>
      <c r="B571">
        <v>2</v>
      </c>
      <c r="C571" t="s">
        <v>30</v>
      </c>
      <c r="D571">
        <f>VLOOKUP(C571,[3]FP!$C:$Q,15,0)</f>
        <v>81</v>
      </c>
      <c r="E571">
        <f>VLOOKUP(C571,[3]FP!$C:$M,11,0)</f>
        <v>80</v>
      </c>
      <c r="F571">
        <f t="shared" si="22"/>
        <v>1</v>
      </c>
      <c r="G571">
        <f t="shared" si="23"/>
        <v>1.2500000000000001E-2</v>
      </c>
      <c r="H571" t="s">
        <v>9</v>
      </c>
    </row>
    <row r="572" spans="1:8">
      <c r="A572">
        <v>2024</v>
      </c>
      <c r="B572">
        <v>2</v>
      </c>
      <c r="C572" t="s">
        <v>31</v>
      </c>
      <c r="D572">
        <f>VLOOKUP(C572,[3]FP!$C:$Q,15,0)</f>
        <v>45</v>
      </c>
      <c r="E572">
        <f>VLOOKUP(C572,[3]FP!$C:$M,11,0)</f>
        <v>47</v>
      </c>
      <c r="F572">
        <f t="shared" si="22"/>
        <v>-2</v>
      </c>
      <c r="G572">
        <f t="shared" si="23"/>
        <v>-4.2553191489361701E-2</v>
      </c>
      <c r="H572" t="s">
        <v>9</v>
      </c>
    </row>
    <row r="573" spans="1:8">
      <c r="A573">
        <v>2024</v>
      </c>
      <c r="B573">
        <v>2</v>
      </c>
      <c r="C573" t="s">
        <v>32</v>
      </c>
      <c r="D573">
        <f>VLOOKUP(C573,[3]FP!$C:$Q,15,0)</f>
        <v>65</v>
      </c>
      <c r="E573">
        <f>VLOOKUP(C573,[3]FP!$C:$M,11,0)</f>
        <v>55</v>
      </c>
      <c r="F573">
        <f t="shared" si="22"/>
        <v>10</v>
      </c>
      <c r="G573">
        <f t="shared" si="23"/>
        <v>0.18181818181818182</v>
      </c>
      <c r="H573" t="s">
        <v>9</v>
      </c>
    </row>
    <row r="574" spans="1:8">
      <c r="A574">
        <v>2024</v>
      </c>
      <c r="B574">
        <v>2</v>
      </c>
      <c r="C574" t="s">
        <v>33</v>
      </c>
      <c r="D574">
        <f>VLOOKUP(C574,[3]FP!$C:$Q,15,0)</f>
        <v>32</v>
      </c>
      <c r="E574">
        <f>VLOOKUP(C574,[3]FP!$C:$M,11,0)</f>
        <v>32</v>
      </c>
      <c r="F574">
        <f t="shared" si="22"/>
        <v>0</v>
      </c>
      <c r="G574">
        <f t="shared" si="23"/>
        <v>0</v>
      </c>
      <c r="H574" t="s">
        <v>9</v>
      </c>
    </row>
    <row r="575" spans="1:8">
      <c r="A575">
        <v>2024</v>
      </c>
      <c r="B575">
        <v>2</v>
      </c>
      <c r="C575" t="s">
        <v>35</v>
      </c>
      <c r="D575">
        <f>VLOOKUP(C575,[3]FP!$C:$Q,15,0)</f>
        <v>30</v>
      </c>
      <c r="E575">
        <f>VLOOKUP(C575,[3]FP!$C:$M,11,0)</f>
        <v>31</v>
      </c>
      <c r="F575">
        <f t="shared" si="22"/>
        <v>-1</v>
      </c>
      <c r="G575">
        <f t="shared" si="23"/>
        <v>-3.2258064516129031E-2</v>
      </c>
      <c r="H575" t="s">
        <v>9</v>
      </c>
    </row>
    <row r="576" spans="1:8">
      <c r="A576">
        <v>2024</v>
      </c>
      <c r="B576">
        <v>2</v>
      </c>
      <c r="C576" t="s">
        <v>15</v>
      </c>
      <c r="D576">
        <v>64</v>
      </c>
      <c r="E576">
        <v>65</v>
      </c>
      <c r="F576">
        <f t="shared" si="22"/>
        <v>-1</v>
      </c>
      <c r="G576">
        <f t="shared" si="23"/>
        <v>-1.5384615384615385E-2</v>
      </c>
      <c r="H576" t="s">
        <v>34</v>
      </c>
    </row>
    <row r="577" spans="1:8">
      <c r="A577">
        <v>2024</v>
      </c>
      <c r="B577">
        <v>3</v>
      </c>
      <c r="C577" t="s">
        <v>8</v>
      </c>
      <c r="D577">
        <f>VLOOKUP(C577,[4]FP!$C:$R,16,0)</f>
        <v>14</v>
      </c>
      <c r="E577">
        <f>VLOOKUP(C577,[4]FP!$C:$N,12,0)</f>
        <v>12</v>
      </c>
      <c r="F577">
        <f t="shared" si="22"/>
        <v>2</v>
      </c>
      <c r="G577">
        <f t="shared" si="23"/>
        <v>0.16666666666666666</v>
      </c>
      <c r="H577" t="s">
        <v>9</v>
      </c>
    </row>
    <row r="578" spans="1:8">
      <c r="A578">
        <v>2024</v>
      </c>
      <c r="B578">
        <v>3</v>
      </c>
      <c r="C578" t="s">
        <v>10</v>
      </c>
      <c r="D578">
        <f>VLOOKUP(C578,[4]FP!$C:$R,16,0)</f>
        <v>47</v>
      </c>
      <c r="E578">
        <f>VLOOKUP(C578,[4]FP!$C:$N,12,0)</f>
        <v>45</v>
      </c>
      <c r="F578">
        <f t="shared" si="22"/>
        <v>2</v>
      </c>
      <c r="G578">
        <f t="shared" si="23"/>
        <v>4.4444444444444446E-2</v>
      </c>
      <c r="H578" t="s">
        <v>9</v>
      </c>
    </row>
    <row r="579" spans="1:8">
      <c r="A579">
        <v>2024</v>
      </c>
      <c r="B579">
        <v>3</v>
      </c>
      <c r="C579" t="s">
        <v>11</v>
      </c>
      <c r="D579">
        <f>VLOOKUP(C579,[4]FP!$C:$R,16,0)</f>
        <v>47</v>
      </c>
      <c r="E579">
        <f>VLOOKUP(C579,[4]FP!$C:$N,12,0)</f>
        <v>46</v>
      </c>
      <c r="F579">
        <f t="shared" si="22"/>
        <v>1</v>
      </c>
      <c r="G579">
        <f t="shared" si="23"/>
        <v>2.1739130434782608E-2</v>
      </c>
      <c r="H579" t="s">
        <v>9</v>
      </c>
    </row>
    <row r="580" spans="1:8">
      <c r="A580">
        <v>2024</v>
      </c>
      <c r="B580">
        <v>3</v>
      </c>
      <c r="C580" t="s">
        <v>12</v>
      </c>
      <c r="D580">
        <f>VLOOKUP(C580,[4]FP!$C:$R,16,0)</f>
        <v>70</v>
      </c>
      <c r="E580">
        <f>VLOOKUP(C580,[4]FP!$C:$N,12,0)</f>
        <v>65</v>
      </c>
      <c r="F580">
        <f t="shared" si="22"/>
        <v>5</v>
      </c>
      <c r="G580">
        <f t="shared" si="23"/>
        <v>7.6923076923076927E-2</v>
      </c>
      <c r="H580" t="s">
        <v>9</v>
      </c>
    </row>
    <row r="581" spans="1:8">
      <c r="A581">
        <v>2024</v>
      </c>
      <c r="B581">
        <v>3</v>
      </c>
      <c r="C581" t="s">
        <v>13</v>
      </c>
      <c r="D581">
        <f>VLOOKUP(C581,[4]FP!$C:$R,16,0)</f>
        <v>18</v>
      </c>
      <c r="E581">
        <f>VLOOKUP(C581,[4]FP!$C:$N,12,0)</f>
        <v>16</v>
      </c>
      <c r="F581">
        <f t="shared" si="22"/>
        <v>2</v>
      </c>
      <c r="G581">
        <f t="shared" si="23"/>
        <v>0.125</v>
      </c>
      <c r="H581" t="s">
        <v>9</v>
      </c>
    </row>
    <row r="582" spans="1:8">
      <c r="A582">
        <v>2024</v>
      </c>
      <c r="B582">
        <v>3</v>
      </c>
      <c r="C582" t="s">
        <v>14</v>
      </c>
      <c r="D582">
        <f>VLOOKUP(C582,[4]FP!$C:$R,16,0)</f>
        <v>258</v>
      </c>
      <c r="E582">
        <f>VLOOKUP(C582,[4]FP!$C:$N,12,0)</f>
        <v>268</v>
      </c>
      <c r="F582">
        <f t="shared" si="22"/>
        <v>-10</v>
      </c>
      <c r="G582">
        <f t="shared" si="23"/>
        <v>-3.7313432835820892E-2</v>
      </c>
      <c r="H582" t="s">
        <v>9</v>
      </c>
    </row>
    <row r="583" spans="1:8">
      <c r="A583">
        <v>2024</v>
      </c>
      <c r="B583">
        <v>3</v>
      </c>
      <c r="C583" t="s">
        <v>15</v>
      </c>
      <c r="D583">
        <v>168</v>
      </c>
      <c r="E583">
        <v>162</v>
      </c>
      <c r="F583">
        <f t="shared" si="22"/>
        <v>6</v>
      </c>
      <c r="G583">
        <f t="shared" si="23"/>
        <v>3.7037037037037035E-2</v>
      </c>
      <c r="H583" t="s">
        <v>9</v>
      </c>
    </row>
    <row r="584" spans="1:8">
      <c r="A584">
        <v>2024</v>
      </c>
      <c r="B584">
        <v>3</v>
      </c>
      <c r="C584" t="s">
        <v>16</v>
      </c>
      <c r="D584">
        <f>VLOOKUP(C584,[4]FP!$C:$R,16,0)</f>
        <v>40</v>
      </c>
      <c r="E584">
        <f>VLOOKUP(C584,[4]FP!$C:$N,12,0)</f>
        <v>37</v>
      </c>
      <c r="F584">
        <f t="shared" si="22"/>
        <v>3</v>
      </c>
      <c r="G584">
        <f t="shared" si="23"/>
        <v>8.1081081081081086E-2</v>
      </c>
      <c r="H584" t="s">
        <v>9</v>
      </c>
    </row>
    <row r="585" spans="1:8">
      <c r="A585">
        <v>2024</v>
      </c>
      <c r="B585">
        <v>3</v>
      </c>
      <c r="C585" t="s">
        <v>17</v>
      </c>
      <c r="D585">
        <f>VLOOKUP(C585,[4]FP!$C:$R,16,0)</f>
        <v>45</v>
      </c>
      <c r="E585">
        <f>VLOOKUP(C585,[4]FP!$C:$N,12,0)</f>
        <v>41</v>
      </c>
      <c r="F585">
        <f t="shared" si="22"/>
        <v>4</v>
      </c>
      <c r="G585">
        <f t="shared" si="23"/>
        <v>9.7560975609756101E-2</v>
      </c>
      <c r="H585" t="s">
        <v>9</v>
      </c>
    </row>
    <row r="586" spans="1:8">
      <c r="A586">
        <v>2024</v>
      </c>
      <c r="B586">
        <v>3</v>
      </c>
      <c r="C586" t="s">
        <v>18</v>
      </c>
      <c r="D586">
        <f>VLOOKUP(C586,[4]FP!$C:$R,16,0)</f>
        <v>58</v>
      </c>
      <c r="E586">
        <f>VLOOKUP(C586,[4]FP!$C:$N,12,0)</f>
        <v>65</v>
      </c>
      <c r="F586">
        <f t="shared" si="22"/>
        <v>-7</v>
      </c>
      <c r="G586">
        <f t="shared" si="23"/>
        <v>-0.1076923076923077</v>
      </c>
      <c r="H586" t="s">
        <v>9</v>
      </c>
    </row>
    <row r="587" spans="1:8">
      <c r="A587">
        <v>2024</v>
      </c>
      <c r="B587">
        <v>3</v>
      </c>
      <c r="C587" t="s">
        <v>19</v>
      </c>
      <c r="D587">
        <f>VLOOKUP(C587,[4]FP!$C:$R,16,0)</f>
        <v>86</v>
      </c>
      <c r="E587">
        <f>VLOOKUP(C587,[4]FP!$C:$N,12,0)</f>
        <v>79</v>
      </c>
      <c r="F587">
        <f t="shared" si="22"/>
        <v>7</v>
      </c>
      <c r="G587">
        <f t="shared" si="23"/>
        <v>8.8607594936708861E-2</v>
      </c>
      <c r="H587" t="s">
        <v>9</v>
      </c>
    </row>
    <row r="588" spans="1:8">
      <c r="A588">
        <v>2024</v>
      </c>
      <c r="B588">
        <v>3</v>
      </c>
      <c r="C588" t="s">
        <v>20</v>
      </c>
      <c r="D588">
        <f>VLOOKUP(C588,[4]FP!$C:$R,16,0)</f>
        <v>34</v>
      </c>
      <c r="E588">
        <f>VLOOKUP(C588,[4]FP!$C:$N,12,0)</f>
        <v>29</v>
      </c>
      <c r="F588">
        <f t="shared" si="22"/>
        <v>5</v>
      </c>
      <c r="G588">
        <f t="shared" si="23"/>
        <v>0.17241379310344829</v>
      </c>
      <c r="H588" t="s">
        <v>9</v>
      </c>
    </row>
    <row r="589" spans="1:8">
      <c r="A589">
        <v>2024</v>
      </c>
      <c r="B589">
        <v>3</v>
      </c>
      <c r="C589" t="s">
        <v>21</v>
      </c>
      <c r="D589">
        <f>VLOOKUP(C589,[4]FP!$C:$R,16,0)</f>
        <v>112</v>
      </c>
      <c r="E589">
        <f>VLOOKUP(C589,[4]FP!$C:$N,12,0)</f>
        <v>114</v>
      </c>
      <c r="F589">
        <f t="shared" si="22"/>
        <v>-2</v>
      </c>
      <c r="G589">
        <f t="shared" si="23"/>
        <v>-1.7543859649122806E-2</v>
      </c>
      <c r="H589" t="s">
        <v>9</v>
      </c>
    </row>
    <row r="590" spans="1:8">
      <c r="A590">
        <v>2024</v>
      </c>
      <c r="B590">
        <v>3</v>
      </c>
      <c r="C590" t="s">
        <v>22</v>
      </c>
      <c r="D590">
        <f>VLOOKUP(C590,[4]FP!$C:$R,16,0)</f>
        <v>22</v>
      </c>
      <c r="E590">
        <f>VLOOKUP(C590,[4]FP!$C:$N,12,0)</f>
        <v>22</v>
      </c>
      <c r="F590">
        <f t="shared" si="22"/>
        <v>0</v>
      </c>
      <c r="G590">
        <f t="shared" si="23"/>
        <v>0</v>
      </c>
      <c r="H590" t="s">
        <v>9</v>
      </c>
    </row>
    <row r="591" spans="1:8">
      <c r="A591">
        <v>2024</v>
      </c>
      <c r="B591">
        <v>3</v>
      </c>
      <c r="C591" t="s">
        <v>23</v>
      </c>
      <c r="D591">
        <f>VLOOKUP(C591,[4]FP!$C:$R,16,0)</f>
        <v>38</v>
      </c>
      <c r="E591">
        <f>VLOOKUP(C591,[4]FP!$C:$N,12,0)</f>
        <v>34</v>
      </c>
      <c r="F591">
        <f t="shared" si="22"/>
        <v>4</v>
      </c>
      <c r="G591">
        <f t="shared" si="23"/>
        <v>0.11764705882352941</v>
      </c>
      <c r="H591" t="s">
        <v>9</v>
      </c>
    </row>
    <row r="592" spans="1:8">
      <c r="A592">
        <v>2024</v>
      </c>
      <c r="B592">
        <v>3</v>
      </c>
      <c r="C592" t="s">
        <v>24</v>
      </c>
      <c r="D592">
        <f>VLOOKUP(C592,[4]FP!$C:$R,16,0)</f>
        <v>67</v>
      </c>
      <c r="E592">
        <f>VLOOKUP(C592,[4]FP!$C:$N,12,0)</f>
        <v>64</v>
      </c>
      <c r="F592">
        <f t="shared" si="22"/>
        <v>3</v>
      </c>
      <c r="G592">
        <f t="shared" si="23"/>
        <v>4.6875E-2</v>
      </c>
      <c r="H592" t="s">
        <v>9</v>
      </c>
    </row>
    <row r="593" spans="1:8">
      <c r="A593">
        <v>2024</v>
      </c>
      <c r="B593">
        <v>3</v>
      </c>
      <c r="C593" t="s">
        <v>25</v>
      </c>
      <c r="D593">
        <f>VLOOKUP(C593,[4]FP!$C:$R,16,0)</f>
        <v>76</v>
      </c>
      <c r="E593">
        <f>VLOOKUP(C593,[4]FP!$C:$N,12,0)</f>
        <v>78</v>
      </c>
      <c r="F593">
        <f t="shared" si="22"/>
        <v>-2</v>
      </c>
      <c r="G593">
        <f t="shared" si="23"/>
        <v>-2.564102564102564E-2</v>
      </c>
      <c r="H593" t="s">
        <v>9</v>
      </c>
    </row>
    <row r="594" spans="1:8">
      <c r="A594">
        <v>2024</v>
      </c>
      <c r="B594">
        <v>3</v>
      </c>
      <c r="C594" t="s">
        <v>26</v>
      </c>
      <c r="D594">
        <f>VLOOKUP(C594,[4]FP!$C:$R,16,0)</f>
        <v>51</v>
      </c>
      <c r="E594">
        <f>VLOOKUP(C594,[4]FP!$C:$N,12,0)</f>
        <v>60</v>
      </c>
      <c r="F594">
        <f t="shared" ref="F594:F620" si="24">D594-E594</f>
        <v>-9</v>
      </c>
      <c r="G594">
        <f t="shared" si="23"/>
        <v>-0.15</v>
      </c>
      <c r="H594" t="s">
        <v>9</v>
      </c>
    </row>
    <row r="595" spans="1:8">
      <c r="A595">
        <v>2024</v>
      </c>
      <c r="B595">
        <v>3</v>
      </c>
      <c r="C595" t="s">
        <v>27</v>
      </c>
      <c r="D595">
        <f>VLOOKUP(C595,[4]FP!$C:$R,16,0)</f>
        <v>112</v>
      </c>
      <c r="E595">
        <f>VLOOKUP(C595,[4]FP!$C:$N,12,0)</f>
        <v>113</v>
      </c>
      <c r="F595">
        <f t="shared" si="24"/>
        <v>-1</v>
      </c>
      <c r="G595">
        <f t="shared" si="23"/>
        <v>-8.8495575221238937E-3</v>
      </c>
      <c r="H595" t="s">
        <v>9</v>
      </c>
    </row>
    <row r="596" spans="1:8">
      <c r="A596">
        <v>2024</v>
      </c>
      <c r="B596">
        <v>3</v>
      </c>
      <c r="C596" t="s">
        <v>28</v>
      </c>
      <c r="D596">
        <f>VLOOKUP(C596,[4]FP!$C:$R,16,0)</f>
        <v>35</v>
      </c>
      <c r="E596">
        <f>VLOOKUP(C596,[4]FP!$C:$N,12,0)</f>
        <v>34</v>
      </c>
      <c r="F596">
        <f t="shared" si="24"/>
        <v>1</v>
      </c>
      <c r="G596">
        <f t="shared" si="23"/>
        <v>2.9411764705882353E-2</v>
      </c>
      <c r="H596" t="s">
        <v>9</v>
      </c>
    </row>
    <row r="597" spans="1:8">
      <c r="A597">
        <v>2024</v>
      </c>
      <c r="B597">
        <v>3</v>
      </c>
      <c r="C597" t="s">
        <v>29</v>
      </c>
      <c r="D597">
        <f>VLOOKUP(C597,[4]FP!$C:$R,16,0)</f>
        <v>47</v>
      </c>
      <c r="E597">
        <f>VLOOKUP(C597,[4]FP!$C:$N,12,0)</f>
        <v>45</v>
      </c>
      <c r="F597">
        <f t="shared" si="24"/>
        <v>2</v>
      </c>
      <c r="G597">
        <f t="shared" si="23"/>
        <v>4.4444444444444446E-2</v>
      </c>
      <c r="H597" t="s">
        <v>9</v>
      </c>
    </row>
    <row r="598" spans="1:8">
      <c r="A598">
        <v>2024</v>
      </c>
      <c r="B598">
        <v>3</v>
      </c>
      <c r="C598" t="s">
        <v>30</v>
      </c>
      <c r="D598">
        <f>VLOOKUP(C598,[4]FP!$C:$R,16,0)</f>
        <v>80</v>
      </c>
      <c r="E598">
        <f>VLOOKUP(C598,[4]FP!$C:$N,12,0)</f>
        <v>81</v>
      </c>
      <c r="F598">
        <f t="shared" si="24"/>
        <v>-1</v>
      </c>
      <c r="G598">
        <f t="shared" si="23"/>
        <v>-1.2345679012345678E-2</v>
      </c>
      <c r="H598" t="s">
        <v>9</v>
      </c>
    </row>
    <row r="599" spans="1:8">
      <c r="A599">
        <v>2024</v>
      </c>
      <c r="B599">
        <v>3</v>
      </c>
      <c r="C599" t="s">
        <v>31</v>
      </c>
      <c r="D599">
        <f>VLOOKUP(C599,[4]FP!$C:$R,16,0)</f>
        <v>45</v>
      </c>
      <c r="E599">
        <f>VLOOKUP(C599,[4]FP!$C:$N,12,0)</f>
        <v>49</v>
      </c>
      <c r="F599">
        <f t="shared" si="24"/>
        <v>-4</v>
      </c>
      <c r="G599">
        <f t="shared" si="23"/>
        <v>-8.1632653061224483E-2</v>
      </c>
      <c r="H599" t="s">
        <v>9</v>
      </c>
    </row>
    <row r="600" spans="1:8">
      <c r="A600">
        <v>2024</v>
      </c>
      <c r="B600">
        <v>3</v>
      </c>
      <c r="C600" t="s">
        <v>32</v>
      </c>
      <c r="D600">
        <f>VLOOKUP(C600,[4]FP!$C:$R,16,0)</f>
        <v>71</v>
      </c>
      <c r="E600">
        <f>VLOOKUP(C600,[4]FP!$C:$N,12,0)</f>
        <v>59</v>
      </c>
      <c r="F600">
        <f t="shared" si="24"/>
        <v>12</v>
      </c>
      <c r="G600">
        <f t="shared" si="23"/>
        <v>0.20338983050847459</v>
      </c>
      <c r="H600" t="s">
        <v>9</v>
      </c>
    </row>
    <row r="601" spans="1:8">
      <c r="A601">
        <v>2024</v>
      </c>
      <c r="B601">
        <v>3</v>
      </c>
      <c r="C601" t="s">
        <v>33</v>
      </c>
      <c r="D601">
        <f>VLOOKUP(C601,[4]FP!$C:$R,16,0)</f>
        <v>34</v>
      </c>
      <c r="E601">
        <f>VLOOKUP(C601,[4]FP!$C:$N,12,0)</f>
        <v>31</v>
      </c>
      <c r="F601">
        <f t="shared" si="24"/>
        <v>3</v>
      </c>
      <c r="G601">
        <f t="shared" si="23"/>
        <v>9.6774193548387094E-2</v>
      </c>
      <c r="H601" t="s">
        <v>9</v>
      </c>
    </row>
    <row r="602" spans="1:8">
      <c r="A602">
        <v>2024</v>
      </c>
      <c r="B602">
        <v>3</v>
      </c>
      <c r="C602" t="s">
        <v>35</v>
      </c>
      <c r="D602">
        <f>VLOOKUP(C602,[4]FP!$C:$R,16,0)</f>
        <v>30</v>
      </c>
      <c r="E602">
        <f>VLOOKUP(C602,[4]FP!$C:$N,12,0)</f>
        <v>31</v>
      </c>
      <c r="F602">
        <f t="shared" si="24"/>
        <v>-1</v>
      </c>
      <c r="G602">
        <f t="shared" si="23"/>
        <v>-3.2258064516129031E-2</v>
      </c>
      <c r="H602" t="s">
        <v>9</v>
      </c>
    </row>
    <row r="603" spans="1:8">
      <c r="A603">
        <v>2024</v>
      </c>
      <c r="B603">
        <v>3</v>
      </c>
      <c r="C603" t="s">
        <v>15</v>
      </c>
      <c r="D603">
        <v>64</v>
      </c>
      <c r="E603">
        <v>65</v>
      </c>
      <c r="F603">
        <f t="shared" si="24"/>
        <v>-1</v>
      </c>
      <c r="G603">
        <f t="shared" si="23"/>
        <v>-1.5384615384615385E-2</v>
      </c>
      <c r="H603" t="s">
        <v>34</v>
      </c>
    </row>
    <row r="604" spans="1:8">
      <c r="A604">
        <v>2024</v>
      </c>
      <c r="B604">
        <v>4</v>
      </c>
      <c r="C604" t="s">
        <v>8</v>
      </c>
      <c r="D604">
        <f>VLOOKUP(C604,[4]FP!$C:$R,16,0)</f>
        <v>14</v>
      </c>
      <c r="E604">
        <f>VLOOKUP(C604,[4]FP!$C:$N,12,0)</f>
        <v>12</v>
      </c>
      <c r="F604">
        <f t="shared" si="24"/>
        <v>2</v>
      </c>
      <c r="G604">
        <f t="shared" ref="G604:G630" si="25">F604/E604</f>
        <v>0.16666666666666666</v>
      </c>
      <c r="H604" t="s">
        <v>9</v>
      </c>
    </row>
    <row r="605" spans="1:8">
      <c r="A605">
        <v>2024</v>
      </c>
      <c r="B605">
        <v>4</v>
      </c>
      <c r="C605" t="s">
        <v>10</v>
      </c>
      <c r="D605">
        <f>VLOOKUP(C605,[4]FP!$C:$R,16,0)</f>
        <v>47</v>
      </c>
      <c r="E605">
        <f>VLOOKUP(C605,[4]FP!$C:$N,12,0)</f>
        <v>45</v>
      </c>
      <c r="F605">
        <f t="shared" si="24"/>
        <v>2</v>
      </c>
      <c r="G605">
        <f t="shared" si="25"/>
        <v>4.4444444444444446E-2</v>
      </c>
      <c r="H605" t="s">
        <v>9</v>
      </c>
    </row>
    <row r="606" spans="1:8">
      <c r="A606">
        <v>2024</v>
      </c>
      <c r="B606">
        <v>4</v>
      </c>
      <c r="C606" t="s">
        <v>11</v>
      </c>
      <c r="D606">
        <f>VLOOKUP(C606,[4]FP!$C:$R,16,0)</f>
        <v>47</v>
      </c>
      <c r="E606">
        <f>VLOOKUP(C606,[4]FP!$C:$N,12,0)</f>
        <v>46</v>
      </c>
      <c r="F606">
        <f t="shared" si="24"/>
        <v>1</v>
      </c>
      <c r="G606">
        <f t="shared" si="25"/>
        <v>2.1739130434782608E-2</v>
      </c>
      <c r="H606" t="s">
        <v>9</v>
      </c>
    </row>
    <row r="607" spans="1:8">
      <c r="A607">
        <v>2024</v>
      </c>
      <c r="B607">
        <v>4</v>
      </c>
      <c r="C607" t="s">
        <v>12</v>
      </c>
      <c r="D607">
        <f>VLOOKUP(C607,[4]FP!$C:$R,16,0)</f>
        <v>70</v>
      </c>
      <c r="E607">
        <f>VLOOKUP(C607,[4]FP!$C:$N,12,0)</f>
        <v>65</v>
      </c>
      <c r="F607">
        <f t="shared" si="24"/>
        <v>5</v>
      </c>
      <c r="G607">
        <f t="shared" si="25"/>
        <v>7.6923076923076927E-2</v>
      </c>
      <c r="H607" t="s">
        <v>9</v>
      </c>
    </row>
    <row r="608" spans="1:8">
      <c r="A608">
        <v>2024</v>
      </c>
      <c r="B608">
        <v>4</v>
      </c>
      <c r="C608" t="s">
        <v>13</v>
      </c>
      <c r="D608">
        <f>VLOOKUP(C608,[4]FP!$C:$R,16,0)</f>
        <v>18</v>
      </c>
      <c r="E608">
        <f>VLOOKUP(C608,[4]FP!$C:$N,12,0)</f>
        <v>16</v>
      </c>
      <c r="F608">
        <f t="shared" si="24"/>
        <v>2</v>
      </c>
      <c r="G608">
        <f t="shared" si="25"/>
        <v>0.125</v>
      </c>
      <c r="H608" t="s">
        <v>9</v>
      </c>
    </row>
    <row r="609" spans="1:8">
      <c r="A609">
        <v>2024</v>
      </c>
      <c r="B609">
        <v>4</v>
      </c>
      <c r="C609" t="s">
        <v>14</v>
      </c>
      <c r="D609">
        <f>VLOOKUP(C609,[4]FP!$C:$R,16,0)</f>
        <v>258</v>
      </c>
      <c r="E609">
        <f>VLOOKUP(C609,[4]FP!$C:$N,12,0)</f>
        <v>268</v>
      </c>
      <c r="F609">
        <f t="shared" si="24"/>
        <v>-10</v>
      </c>
      <c r="G609">
        <f t="shared" si="25"/>
        <v>-3.7313432835820892E-2</v>
      </c>
      <c r="H609" t="s">
        <v>9</v>
      </c>
    </row>
    <row r="610" spans="1:8">
      <c r="A610">
        <v>2024</v>
      </c>
      <c r="B610">
        <v>4</v>
      </c>
      <c r="C610" t="s">
        <v>15</v>
      </c>
      <c r="D610">
        <v>168</v>
      </c>
      <c r="E610">
        <v>162</v>
      </c>
      <c r="F610">
        <f t="shared" si="24"/>
        <v>6</v>
      </c>
      <c r="G610">
        <f t="shared" si="25"/>
        <v>3.7037037037037035E-2</v>
      </c>
      <c r="H610" t="s">
        <v>9</v>
      </c>
    </row>
    <row r="611" spans="1:8">
      <c r="A611">
        <v>2024</v>
      </c>
      <c r="B611">
        <v>4</v>
      </c>
      <c r="C611" t="s">
        <v>16</v>
      </c>
      <c r="D611">
        <f>VLOOKUP(C611,[4]FP!$C:$R,16,0)</f>
        <v>40</v>
      </c>
      <c r="E611">
        <f>VLOOKUP(C611,[4]FP!$C:$N,12,0)</f>
        <v>37</v>
      </c>
      <c r="F611">
        <f t="shared" si="24"/>
        <v>3</v>
      </c>
      <c r="G611">
        <f t="shared" si="25"/>
        <v>8.1081081081081086E-2</v>
      </c>
      <c r="H611" t="s">
        <v>9</v>
      </c>
    </row>
    <row r="612" spans="1:8">
      <c r="A612">
        <v>2024</v>
      </c>
      <c r="B612">
        <v>4</v>
      </c>
      <c r="C612" t="s">
        <v>17</v>
      </c>
      <c r="D612">
        <f>VLOOKUP(C612,[4]FP!$C:$R,16,0)</f>
        <v>45</v>
      </c>
      <c r="E612">
        <f>VLOOKUP(C612,[4]FP!$C:$N,12,0)</f>
        <v>41</v>
      </c>
      <c r="F612">
        <f t="shared" si="24"/>
        <v>4</v>
      </c>
      <c r="G612">
        <f t="shared" si="25"/>
        <v>9.7560975609756101E-2</v>
      </c>
      <c r="H612" t="s">
        <v>9</v>
      </c>
    </row>
    <row r="613" spans="1:8">
      <c r="A613">
        <v>2024</v>
      </c>
      <c r="B613">
        <v>4</v>
      </c>
      <c r="C613" t="s">
        <v>18</v>
      </c>
      <c r="D613">
        <f>VLOOKUP(C613,[4]FP!$C:$R,16,0)</f>
        <v>58</v>
      </c>
      <c r="E613">
        <f>VLOOKUP(C613,[4]FP!$C:$N,12,0)</f>
        <v>65</v>
      </c>
      <c r="F613">
        <f t="shared" si="24"/>
        <v>-7</v>
      </c>
      <c r="G613">
        <f t="shared" si="25"/>
        <v>-0.1076923076923077</v>
      </c>
      <c r="H613" t="s">
        <v>9</v>
      </c>
    </row>
    <row r="614" spans="1:8">
      <c r="A614">
        <v>2024</v>
      </c>
      <c r="B614">
        <v>4</v>
      </c>
      <c r="C614" t="s">
        <v>19</v>
      </c>
      <c r="D614">
        <f>VLOOKUP(C614,[4]FP!$C:$R,16,0)</f>
        <v>86</v>
      </c>
      <c r="E614">
        <f>VLOOKUP(C614,[4]FP!$C:$N,12,0)</f>
        <v>79</v>
      </c>
      <c r="F614">
        <f t="shared" si="24"/>
        <v>7</v>
      </c>
      <c r="G614">
        <f t="shared" si="25"/>
        <v>8.8607594936708861E-2</v>
      </c>
      <c r="H614" t="s">
        <v>9</v>
      </c>
    </row>
    <row r="615" spans="1:8">
      <c r="A615">
        <v>2024</v>
      </c>
      <c r="B615">
        <v>4</v>
      </c>
      <c r="C615" t="s">
        <v>20</v>
      </c>
      <c r="D615">
        <f>VLOOKUP(C615,[4]FP!$C:$R,16,0)</f>
        <v>34</v>
      </c>
      <c r="E615">
        <f>VLOOKUP(C615,[4]FP!$C:$N,12,0)</f>
        <v>29</v>
      </c>
      <c r="F615">
        <f t="shared" si="24"/>
        <v>5</v>
      </c>
      <c r="G615">
        <f t="shared" si="25"/>
        <v>0.17241379310344829</v>
      </c>
      <c r="H615" t="s">
        <v>9</v>
      </c>
    </row>
    <row r="616" spans="1:8">
      <c r="A616">
        <v>2024</v>
      </c>
      <c r="B616">
        <v>4</v>
      </c>
      <c r="C616" t="s">
        <v>21</v>
      </c>
      <c r="D616">
        <f>VLOOKUP(C616,[4]FP!$C:$R,16,0)</f>
        <v>112</v>
      </c>
      <c r="E616">
        <f>VLOOKUP(C616,[4]FP!$C:$N,12,0)</f>
        <v>114</v>
      </c>
      <c r="F616">
        <f t="shared" si="24"/>
        <v>-2</v>
      </c>
      <c r="G616">
        <f t="shared" si="25"/>
        <v>-1.7543859649122806E-2</v>
      </c>
      <c r="H616" t="s">
        <v>9</v>
      </c>
    </row>
    <row r="617" spans="1:8">
      <c r="A617">
        <v>2024</v>
      </c>
      <c r="B617">
        <v>4</v>
      </c>
      <c r="C617" t="s">
        <v>22</v>
      </c>
      <c r="D617">
        <f>VLOOKUP(C617,[4]FP!$C:$R,16,0)</f>
        <v>22</v>
      </c>
      <c r="E617">
        <f>VLOOKUP(C617,[4]FP!$C:$N,12,0)</f>
        <v>22</v>
      </c>
      <c r="F617">
        <f t="shared" si="24"/>
        <v>0</v>
      </c>
      <c r="G617">
        <f t="shared" si="25"/>
        <v>0</v>
      </c>
      <c r="H617" t="s">
        <v>9</v>
      </c>
    </row>
    <row r="618" spans="1:8">
      <c r="A618">
        <v>2024</v>
      </c>
      <c r="B618">
        <v>4</v>
      </c>
      <c r="C618" t="s">
        <v>23</v>
      </c>
      <c r="D618">
        <f>VLOOKUP(C618,[4]FP!$C:$R,16,0)</f>
        <v>38</v>
      </c>
      <c r="E618">
        <f>VLOOKUP(C618,[4]FP!$C:$N,12,0)</f>
        <v>34</v>
      </c>
      <c r="F618">
        <f t="shared" si="24"/>
        <v>4</v>
      </c>
      <c r="G618">
        <f t="shared" si="25"/>
        <v>0.11764705882352941</v>
      </c>
      <c r="H618" t="s">
        <v>9</v>
      </c>
    </row>
    <row r="619" spans="1:8">
      <c r="A619">
        <v>2024</v>
      </c>
      <c r="B619">
        <v>4</v>
      </c>
      <c r="C619" t="s">
        <v>24</v>
      </c>
      <c r="D619">
        <f>VLOOKUP(C619,[4]FP!$C:$R,16,0)</f>
        <v>67</v>
      </c>
      <c r="E619">
        <f>VLOOKUP(C619,[4]FP!$C:$N,12,0)</f>
        <v>64</v>
      </c>
      <c r="F619">
        <f t="shared" si="24"/>
        <v>3</v>
      </c>
      <c r="G619">
        <f t="shared" si="25"/>
        <v>4.6875E-2</v>
      </c>
      <c r="H619" t="s">
        <v>9</v>
      </c>
    </row>
    <row r="620" spans="1:8">
      <c r="A620">
        <v>2024</v>
      </c>
      <c r="B620">
        <v>4</v>
      </c>
      <c r="C620" t="s">
        <v>25</v>
      </c>
      <c r="D620">
        <f>VLOOKUP(C620,[4]FP!$C:$R,16,0)</f>
        <v>76</v>
      </c>
      <c r="E620">
        <f>VLOOKUP(C620,[4]FP!$C:$N,12,0)</f>
        <v>78</v>
      </c>
      <c r="F620">
        <f t="shared" si="24"/>
        <v>-2</v>
      </c>
      <c r="G620">
        <f t="shared" si="25"/>
        <v>-2.564102564102564E-2</v>
      </c>
      <c r="H620" t="s">
        <v>9</v>
      </c>
    </row>
    <row r="621" spans="1:8">
      <c r="A621">
        <v>2024</v>
      </c>
      <c r="B621">
        <v>4</v>
      </c>
      <c r="C621" t="s">
        <v>26</v>
      </c>
      <c r="D621">
        <f>VLOOKUP(C621,[4]FP!$C:$R,16,0)</f>
        <v>51</v>
      </c>
      <c r="E621">
        <f>VLOOKUP(C621,[4]FP!$C:$N,12,0)</f>
        <v>60</v>
      </c>
      <c r="F621">
        <f t="shared" ref="F621:F647" si="26">D621-E621</f>
        <v>-9</v>
      </c>
      <c r="G621">
        <f t="shared" si="25"/>
        <v>-0.15</v>
      </c>
      <c r="H621" t="s">
        <v>9</v>
      </c>
    </row>
    <row r="622" spans="1:8">
      <c r="A622">
        <v>2024</v>
      </c>
      <c r="B622">
        <v>4</v>
      </c>
      <c r="C622" t="s">
        <v>27</v>
      </c>
      <c r="D622">
        <f>VLOOKUP(C622,[4]FP!$C:$R,16,0)</f>
        <v>112</v>
      </c>
      <c r="E622">
        <f>VLOOKUP(C622,[4]FP!$C:$N,12,0)</f>
        <v>113</v>
      </c>
      <c r="F622">
        <f t="shared" si="26"/>
        <v>-1</v>
      </c>
      <c r="G622">
        <f t="shared" si="25"/>
        <v>-8.8495575221238937E-3</v>
      </c>
      <c r="H622" t="s">
        <v>9</v>
      </c>
    </row>
    <row r="623" spans="1:8">
      <c r="A623">
        <v>2024</v>
      </c>
      <c r="B623">
        <v>4</v>
      </c>
      <c r="C623" t="s">
        <v>28</v>
      </c>
      <c r="D623">
        <f>VLOOKUP(C623,[4]FP!$C:$R,16,0)</f>
        <v>35</v>
      </c>
      <c r="E623">
        <f>VLOOKUP(C623,[4]FP!$C:$N,12,0)</f>
        <v>34</v>
      </c>
      <c r="F623">
        <f t="shared" si="26"/>
        <v>1</v>
      </c>
      <c r="G623">
        <f t="shared" si="25"/>
        <v>2.9411764705882353E-2</v>
      </c>
      <c r="H623" t="s">
        <v>9</v>
      </c>
    </row>
    <row r="624" spans="1:8">
      <c r="A624">
        <v>2024</v>
      </c>
      <c r="B624">
        <v>4</v>
      </c>
      <c r="C624" t="s">
        <v>29</v>
      </c>
      <c r="D624">
        <f>VLOOKUP(C624,[4]FP!$C:$R,16,0)</f>
        <v>47</v>
      </c>
      <c r="E624">
        <f>VLOOKUP(C624,[4]FP!$C:$N,12,0)</f>
        <v>45</v>
      </c>
      <c r="F624">
        <f t="shared" si="26"/>
        <v>2</v>
      </c>
      <c r="G624">
        <f t="shared" si="25"/>
        <v>4.4444444444444446E-2</v>
      </c>
      <c r="H624" t="s">
        <v>9</v>
      </c>
    </row>
    <row r="625" spans="1:8">
      <c r="A625">
        <v>2024</v>
      </c>
      <c r="B625">
        <v>4</v>
      </c>
      <c r="C625" t="s">
        <v>30</v>
      </c>
      <c r="D625">
        <f>VLOOKUP(C625,[4]FP!$C:$R,16,0)</f>
        <v>80</v>
      </c>
      <c r="E625">
        <f>VLOOKUP(C625,[4]FP!$C:$N,12,0)</f>
        <v>81</v>
      </c>
      <c r="F625">
        <f t="shared" si="26"/>
        <v>-1</v>
      </c>
      <c r="G625">
        <f t="shared" si="25"/>
        <v>-1.2345679012345678E-2</v>
      </c>
      <c r="H625" t="s">
        <v>9</v>
      </c>
    </row>
    <row r="626" spans="1:8">
      <c r="A626">
        <v>2024</v>
      </c>
      <c r="B626">
        <v>4</v>
      </c>
      <c r="C626" t="s">
        <v>31</v>
      </c>
      <c r="D626">
        <f>VLOOKUP(C626,[4]FP!$C:$R,16,0)</f>
        <v>45</v>
      </c>
      <c r="E626">
        <f>VLOOKUP(C626,[4]FP!$C:$N,12,0)</f>
        <v>49</v>
      </c>
      <c r="F626">
        <f t="shared" si="26"/>
        <v>-4</v>
      </c>
      <c r="G626">
        <f t="shared" si="25"/>
        <v>-8.1632653061224483E-2</v>
      </c>
      <c r="H626" t="s">
        <v>9</v>
      </c>
    </row>
    <row r="627" spans="1:8">
      <c r="A627">
        <v>2024</v>
      </c>
      <c r="B627">
        <v>4</v>
      </c>
      <c r="C627" t="s">
        <v>32</v>
      </c>
      <c r="D627">
        <f>VLOOKUP(C627,[4]FP!$C:$R,16,0)</f>
        <v>71</v>
      </c>
      <c r="E627">
        <f>VLOOKUP(C627,[4]FP!$C:$N,12,0)</f>
        <v>59</v>
      </c>
      <c r="F627">
        <f t="shared" si="26"/>
        <v>12</v>
      </c>
      <c r="G627">
        <f t="shared" si="25"/>
        <v>0.20338983050847459</v>
      </c>
      <c r="H627" t="s">
        <v>9</v>
      </c>
    </row>
    <row r="628" spans="1:8">
      <c r="A628">
        <v>2024</v>
      </c>
      <c r="B628">
        <v>4</v>
      </c>
      <c r="C628" t="s">
        <v>33</v>
      </c>
      <c r="D628">
        <f>VLOOKUP(C628,[4]FP!$C:$R,16,0)</f>
        <v>34</v>
      </c>
      <c r="E628">
        <f>VLOOKUP(C628,[4]FP!$C:$N,12,0)</f>
        <v>31</v>
      </c>
      <c r="F628">
        <f t="shared" si="26"/>
        <v>3</v>
      </c>
      <c r="G628">
        <f t="shared" si="25"/>
        <v>9.6774193548387094E-2</v>
      </c>
      <c r="H628" t="s">
        <v>9</v>
      </c>
    </row>
    <row r="629" spans="1:8">
      <c r="A629">
        <v>2024</v>
      </c>
      <c r="B629">
        <v>4</v>
      </c>
      <c r="C629" t="s">
        <v>35</v>
      </c>
      <c r="D629">
        <f>VLOOKUP(C629,[4]FP!$C:$R,16,0)</f>
        <v>30</v>
      </c>
      <c r="E629">
        <f>VLOOKUP(C629,[4]FP!$C:$N,12,0)</f>
        <v>31</v>
      </c>
      <c r="F629">
        <f t="shared" si="26"/>
        <v>-1</v>
      </c>
      <c r="G629">
        <f t="shared" si="25"/>
        <v>-3.2258064516129031E-2</v>
      </c>
      <c r="H629" t="s">
        <v>9</v>
      </c>
    </row>
    <row r="630" spans="1:8">
      <c r="A630">
        <v>2024</v>
      </c>
      <c r="B630">
        <v>4</v>
      </c>
      <c r="C630" t="s">
        <v>15</v>
      </c>
      <c r="D630">
        <v>64</v>
      </c>
      <c r="E630">
        <v>65</v>
      </c>
      <c r="F630">
        <f t="shared" si="26"/>
        <v>-1</v>
      </c>
      <c r="G630">
        <f t="shared" si="25"/>
        <v>-1.5384615384615385E-2</v>
      </c>
      <c r="H630" t="s">
        <v>34</v>
      </c>
    </row>
    <row r="631" spans="1:8">
      <c r="A631">
        <v>2024</v>
      </c>
      <c r="B631">
        <v>5</v>
      </c>
      <c r="C631" t="s">
        <v>8</v>
      </c>
      <c r="D631">
        <f>VLOOKUP(C631,[4]FP!$C:$R,16,0)</f>
        <v>14</v>
      </c>
      <c r="E631">
        <f>VLOOKUP(C631,[4]FP!$C:$N,12,0)</f>
        <v>12</v>
      </c>
      <c r="F631">
        <f t="shared" si="26"/>
        <v>2</v>
      </c>
      <c r="G631">
        <f t="shared" ref="G631:G684" si="27">F631/E631</f>
        <v>0.16666666666666666</v>
      </c>
      <c r="H631" t="s">
        <v>9</v>
      </c>
    </row>
    <row r="632" spans="1:8">
      <c r="A632">
        <v>2024</v>
      </c>
      <c r="B632">
        <v>5</v>
      </c>
      <c r="C632" t="s">
        <v>10</v>
      </c>
      <c r="D632">
        <f>VLOOKUP(C632,[4]FP!$C:$R,16,0)</f>
        <v>47</v>
      </c>
      <c r="E632">
        <f>VLOOKUP(C632,[4]FP!$C:$N,12,0)</f>
        <v>45</v>
      </c>
      <c r="F632">
        <f t="shared" si="26"/>
        <v>2</v>
      </c>
      <c r="G632">
        <f t="shared" si="27"/>
        <v>4.4444444444444446E-2</v>
      </c>
      <c r="H632" t="s">
        <v>9</v>
      </c>
    </row>
    <row r="633" spans="1:8">
      <c r="A633">
        <v>2024</v>
      </c>
      <c r="B633">
        <v>5</v>
      </c>
      <c r="C633" t="s">
        <v>11</v>
      </c>
      <c r="D633">
        <f>VLOOKUP(C633,[4]FP!$C:$R,16,0)</f>
        <v>47</v>
      </c>
      <c r="E633">
        <f>VLOOKUP(C633,[4]FP!$C:$N,12,0)</f>
        <v>46</v>
      </c>
      <c r="F633">
        <f t="shared" si="26"/>
        <v>1</v>
      </c>
      <c r="G633">
        <f t="shared" si="27"/>
        <v>2.1739130434782608E-2</v>
      </c>
      <c r="H633" t="s">
        <v>9</v>
      </c>
    </row>
    <row r="634" spans="1:8">
      <c r="A634">
        <v>2024</v>
      </c>
      <c r="B634">
        <v>5</v>
      </c>
      <c r="C634" t="s">
        <v>12</v>
      </c>
      <c r="D634">
        <f>VLOOKUP(C634,[4]FP!$C:$R,16,0)</f>
        <v>70</v>
      </c>
      <c r="E634">
        <f>VLOOKUP(C634,[4]FP!$C:$N,12,0)</f>
        <v>65</v>
      </c>
      <c r="F634">
        <f t="shared" si="26"/>
        <v>5</v>
      </c>
      <c r="G634">
        <f t="shared" si="27"/>
        <v>7.6923076923076927E-2</v>
      </c>
      <c r="H634" t="s">
        <v>9</v>
      </c>
    </row>
    <row r="635" spans="1:8">
      <c r="A635">
        <v>2024</v>
      </c>
      <c r="B635">
        <v>5</v>
      </c>
      <c r="C635" t="s">
        <v>13</v>
      </c>
      <c r="D635">
        <f>VLOOKUP(C635,[4]FP!$C:$R,16,0)</f>
        <v>18</v>
      </c>
      <c r="E635">
        <f>VLOOKUP(C635,[4]FP!$C:$N,12,0)</f>
        <v>16</v>
      </c>
      <c r="F635">
        <f t="shared" si="26"/>
        <v>2</v>
      </c>
      <c r="G635">
        <f t="shared" si="27"/>
        <v>0.125</v>
      </c>
      <c r="H635" t="s">
        <v>9</v>
      </c>
    </row>
    <row r="636" spans="1:8">
      <c r="A636">
        <v>2024</v>
      </c>
      <c r="B636">
        <v>5</v>
      </c>
      <c r="C636" t="s">
        <v>14</v>
      </c>
      <c r="D636">
        <f>VLOOKUP(C636,[4]FP!$C:$R,16,0)</f>
        <v>258</v>
      </c>
      <c r="E636">
        <f>VLOOKUP(C636,[4]FP!$C:$N,12,0)</f>
        <v>268</v>
      </c>
      <c r="F636">
        <f t="shared" si="26"/>
        <v>-10</v>
      </c>
      <c r="G636">
        <f t="shared" si="27"/>
        <v>-3.7313432835820892E-2</v>
      </c>
      <c r="H636" t="s">
        <v>9</v>
      </c>
    </row>
    <row r="637" spans="1:8">
      <c r="A637">
        <v>2024</v>
      </c>
      <c r="B637">
        <v>5</v>
      </c>
      <c r="C637" t="s">
        <v>15</v>
      </c>
      <c r="D637">
        <v>168</v>
      </c>
      <c r="E637">
        <v>162</v>
      </c>
      <c r="F637">
        <f t="shared" si="26"/>
        <v>6</v>
      </c>
      <c r="G637">
        <f t="shared" si="27"/>
        <v>3.7037037037037035E-2</v>
      </c>
      <c r="H637" t="s">
        <v>9</v>
      </c>
    </row>
    <row r="638" spans="1:8">
      <c r="A638">
        <v>2024</v>
      </c>
      <c r="B638">
        <v>5</v>
      </c>
      <c r="C638" t="s">
        <v>16</v>
      </c>
      <c r="D638">
        <f>VLOOKUP(C638,[4]FP!$C:$R,16,0)</f>
        <v>40</v>
      </c>
      <c r="E638">
        <f>VLOOKUP(C638,[4]FP!$C:$N,12,0)</f>
        <v>37</v>
      </c>
      <c r="F638">
        <f t="shared" si="26"/>
        <v>3</v>
      </c>
      <c r="G638">
        <f t="shared" si="27"/>
        <v>8.1081081081081086E-2</v>
      </c>
      <c r="H638" t="s">
        <v>9</v>
      </c>
    </row>
    <row r="639" spans="1:8">
      <c r="A639">
        <v>2024</v>
      </c>
      <c r="B639">
        <v>5</v>
      </c>
      <c r="C639" t="s">
        <v>17</v>
      </c>
      <c r="D639">
        <f>VLOOKUP(C639,[4]FP!$C:$R,16,0)</f>
        <v>45</v>
      </c>
      <c r="E639">
        <f>VLOOKUP(C639,[4]FP!$C:$N,12,0)</f>
        <v>41</v>
      </c>
      <c r="F639">
        <f t="shared" si="26"/>
        <v>4</v>
      </c>
      <c r="G639">
        <f t="shared" si="27"/>
        <v>9.7560975609756101E-2</v>
      </c>
      <c r="H639" t="s">
        <v>9</v>
      </c>
    </row>
    <row r="640" spans="1:8">
      <c r="A640">
        <v>2024</v>
      </c>
      <c r="B640">
        <v>5</v>
      </c>
      <c r="C640" t="s">
        <v>18</v>
      </c>
      <c r="D640">
        <f>VLOOKUP(C640,[4]FP!$C:$R,16,0)</f>
        <v>58</v>
      </c>
      <c r="E640">
        <f>VLOOKUP(C640,[4]FP!$C:$N,12,0)</f>
        <v>65</v>
      </c>
      <c r="F640">
        <f t="shared" si="26"/>
        <v>-7</v>
      </c>
      <c r="G640">
        <f t="shared" si="27"/>
        <v>-0.1076923076923077</v>
      </c>
      <c r="H640" t="s">
        <v>9</v>
      </c>
    </row>
    <row r="641" spans="1:8">
      <c r="A641">
        <v>2024</v>
      </c>
      <c r="B641">
        <v>5</v>
      </c>
      <c r="C641" t="s">
        <v>19</v>
      </c>
      <c r="D641">
        <f>VLOOKUP(C641,[4]FP!$C:$R,16,0)</f>
        <v>86</v>
      </c>
      <c r="E641">
        <f>VLOOKUP(C641,[4]FP!$C:$N,12,0)</f>
        <v>79</v>
      </c>
      <c r="F641">
        <f t="shared" si="26"/>
        <v>7</v>
      </c>
      <c r="G641">
        <f t="shared" si="27"/>
        <v>8.8607594936708861E-2</v>
      </c>
      <c r="H641" t="s">
        <v>9</v>
      </c>
    </row>
    <row r="642" spans="1:8">
      <c r="A642">
        <v>2024</v>
      </c>
      <c r="B642">
        <v>5</v>
      </c>
      <c r="C642" t="s">
        <v>20</v>
      </c>
      <c r="D642">
        <f>VLOOKUP(C642,[4]FP!$C:$R,16,0)</f>
        <v>34</v>
      </c>
      <c r="E642">
        <f>VLOOKUP(C642,[4]FP!$C:$N,12,0)</f>
        <v>29</v>
      </c>
      <c r="F642">
        <f t="shared" si="26"/>
        <v>5</v>
      </c>
      <c r="G642">
        <f t="shared" si="27"/>
        <v>0.17241379310344829</v>
      </c>
      <c r="H642" t="s">
        <v>9</v>
      </c>
    </row>
    <row r="643" spans="1:8">
      <c r="A643">
        <v>2024</v>
      </c>
      <c r="B643">
        <v>5</v>
      </c>
      <c r="C643" t="s">
        <v>21</v>
      </c>
      <c r="D643">
        <f>VLOOKUP(C643,[4]FP!$C:$R,16,0)</f>
        <v>112</v>
      </c>
      <c r="E643">
        <f>VLOOKUP(C643,[4]FP!$C:$N,12,0)</f>
        <v>114</v>
      </c>
      <c r="F643">
        <f t="shared" si="26"/>
        <v>-2</v>
      </c>
      <c r="G643">
        <f t="shared" si="27"/>
        <v>-1.7543859649122806E-2</v>
      </c>
      <c r="H643" t="s">
        <v>9</v>
      </c>
    </row>
    <row r="644" spans="1:8">
      <c r="A644">
        <v>2024</v>
      </c>
      <c r="B644">
        <v>5</v>
      </c>
      <c r="C644" t="s">
        <v>22</v>
      </c>
      <c r="D644">
        <f>VLOOKUP(C644,[4]FP!$C:$R,16,0)</f>
        <v>22</v>
      </c>
      <c r="E644">
        <f>VLOOKUP(C644,[4]FP!$C:$N,12,0)</f>
        <v>22</v>
      </c>
      <c r="F644">
        <f t="shared" si="26"/>
        <v>0</v>
      </c>
      <c r="G644">
        <f t="shared" si="27"/>
        <v>0</v>
      </c>
      <c r="H644" t="s">
        <v>9</v>
      </c>
    </row>
    <row r="645" spans="1:8">
      <c r="A645">
        <v>2024</v>
      </c>
      <c r="B645">
        <v>5</v>
      </c>
      <c r="C645" t="s">
        <v>23</v>
      </c>
      <c r="D645">
        <f>VLOOKUP(C645,[4]FP!$C:$R,16,0)</f>
        <v>38</v>
      </c>
      <c r="E645">
        <f>VLOOKUP(C645,[4]FP!$C:$N,12,0)</f>
        <v>34</v>
      </c>
      <c r="F645">
        <f t="shared" si="26"/>
        <v>4</v>
      </c>
      <c r="G645">
        <f t="shared" si="27"/>
        <v>0.11764705882352941</v>
      </c>
      <c r="H645" t="s">
        <v>9</v>
      </c>
    </row>
    <row r="646" spans="1:8">
      <c r="A646">
        <v>2024</v>
      </c>
      <c r="B646">
        <v>5</v>
      </c>
      <c r="C646" t="s">
        <v>24</v>
      </c>
      <c r="D646">
        <f>VLOOKUP(C646,[4]FP!$C:$R,16,0)</f>
        <v>67</v>
      </c>
      <c r="E646">
        <f>VLOOKUP(C646,[4]FP!$C:$N,12,0)</f>
        <v>64</v>
      </c>
      <c r="F646">
        <f t="shared" si="26"/>
        <v>3</v>
      </c>
      <c r="G646">
        <f t="shared" si="27"/>
        <v>4.6875E-2</v>
      </c>
      <c r="H646" t="s">
        <v>9</v>
      </c>
    </row>
    <row r="647" spans="1:8">
      <c r="A647">
        <v>2024</v>
      </c>
      <c r="B647">
        <v>5</v>
      </c>
      <c r="C647" t="s">
        <v>25</v>
      </c>
      <c r="D647">
        <f>VLOOKUP(C647,[4]FP!$C:$R,16,0)</f>
        <v>76</v>
      </c>
      <c r="E647">
        <f>VLOOKUP(C647,[4]FP!$C:$N,12,0)</f>
        <v>78</v>
      </c>
      <c r="F647">
        <f t="shared" si="26"/>
        <v>-2</v>
      </c>
      <c r="G647">
        <f t="shared" si="27"/>
        <v>-2.564102564102564E-2</v>
      </c>
      <c r="H647" t="s">
        <v>9</v>
      </c>
    </row>
    <row r="648" spans="1:8">
      <c r="A648">
        <v>2024</v>
      </c>
      <c r="B648">
        <v>5</v>
      </c>
      <c r="C648" t="s">
        <v>26</v>
      </c>
      <c r="D648">
        <f>VLOOKUP(C648,[4]FP!$C:$R,16,0)</f>
        <v>51</v>
      </c>
      <c r="E648">
        <f>VLOOKUP(C648,[4]FP!$C:$N,12,0)</f>
        <v>60</v>
      </c>
      <c r="F648">
        <f t="shared" ref="F648:F701" si="28">D648-E648</f>
        <v>-9</v>
      </c>
      <c r="G648">
        <f t="shared" si="27"/>
        <v>-0.15</v>
      </c>
      <c r="H648" t="s">
        <v>9</v>
      </c>
    </row>
    <row r="649" spans="1:8">
      <c r="A649">
        <v>2024</v>
      </c>
      <c r="B649">
        <v>5</v>
      </c>
      <c r="C649" t="s">
        <v>27</v>
      </c>
      <c r="D649">
        <f>VLOOKUP(C649,[4]FP!$C:$R,16,0)</f>
        <v>112</v>
      </c>
      <c r="E649">
        <f>VLOOKUP(C649,[4]FP!$C:$N,12,0)</f>
        <v>113</v>
      </c>
      <c r="F649">
        <f t="shared" si="28"/>
        <v>-1</v>
      </c>
      <c r="G649">
        <f t="shared" si="27"/>
        <v>-8.8495575221238937E-3</v>
      </c>
      <c r="H649" t="s">
        <v>9</v>
      </c>
    </row>
    <row r="650" spans="1:8">
      <c r="A650">
        <v>2024</v>
      </c>
      <c r="B650">
        <v>5</v>
      </c>
      <c r="C650" t="s">
        <v>28</v>
      </c>
      <c r="D650">
        <f>VLOOKUP(C650,[4]FP!$C:$R,16,0)</f>
        <v>35</v>
      </c>
      <c r="E650">
        <f>VLOOKUP(C650,[4]FP!$C:$N,12,0)</f>
        <v>34</v>
      </c>
      <c r="F650">
        <f t="shared" si="28"/>
        <v>1</v>
      </c>
      <c r="G650">
        <f t="shared" si="27"/>
        <v>2.9411764705882353E-2</v>
      </c>
      <c r="H650" t="s">
        <v>9</v>
      </c>
    </row>
    <row r="651" spans="1:8">
      <c r="A651">
        <v>2024</v>
      </c>
      <c r="B651">
        <v>5</v>
      </c>
      <c r="C651" t="s">
        <v>29</v>
      </c>
      <c r="D651">
        <f>VLOOKUP(C651,[4]FP!$C:$R,16,0)</f>
        <v>47</v>
      </c>
      <c r="E651">
        <f>VLOOKUP(C651,[4]FP!$C:$N,12,0)</f>
        <v>45</v>
      </c>
      <c r="F651">
        <f t="shared" si="28"/>
        <v>2</v>
      </c>
      <c r="G651">
        <f t="shared" si="27"/>
        <v>4.4444444444444446E-2</v>
      </c>
      <c r="H651" t="s">
        <v>9</v>
      </c>
    </row>
    <row r="652" spans="1:8">
      <c r="A652">
        <v>2024</v>
      </c>
      <c r="B652">
        <v>5</v>
      </c>
      <c r="C652" t="s">
        <v>30</v>
      </c>
      <c r="D652">
        <f>VLOOKUP(C652,[4]FP!$C:$R,16,0)</f>
        <v>80</v>
      </c>
      <c r="E652">
        <f>VLOOKUP(C652,[4]FP!$C:$N,12,0)</f>
        <v>81</v>
      </c>
      <c r="F652">
        <f t="shared" si="28"/>
        <v>-1</v>
      </c>
      <c r="G652">
        <f t="shared" si="27"/>
        <v>-1.2345679012345678E-2</v>
      </c>
      <c r="H652" t="s">
        <v>9</v>
      </c>
    </row>
    <row r="653" spans="1:8">
      <c r="A653">
        <v>2024</v>
      </c>
      <c r="B653">
        <v>5</v>
      </c>
      <c r="C653" t="s">
        <v>31</v>
      </c>
      <c r="D653">
        <f>VLOOKUP(C653,[4]FP!$C:$R,16,0)</f>
        <v>45</v>
      </c>
      <c r="E653">
        <f>VLOOKUP(C653,[4]FP!$C:$N,12,0)</f>
        <v>49</v>
      </c>
      <c r="F653">
        <f t="shared" si="28"/>
        <v>-4</v>
      </c>
      <c r="G653">
        <f t="shared" si="27"/>
        <v>-8.1632653061224483E-2</v>
      </c>
      <c r="H653" t="s">
        <v>9</v>
      </c>
    </row>
    <row r="654" spans="1:8">
      <c r="A654">
        <v>2024</v>
      </c>
      <c r="B654">
        <v>5</v>
      </c>
      <c r="C654" t="s">
        <v>32</v>
      </c>
      <c r="D654">
        <f>VLOOKUP(C654,[4]FP!$C:$R,16,0)</f>
        <v>71</v>
      </c>
      <c r="E654">
        <f>VLOOKUP(C654,[4]FP!$C:$N,12,0)</f>
        <v>59</v>
      </c>
      <c r="F654">
        <f t="shared" si="28"/>
        <v>12</v>
      </c>
      <c r="G654">
        <f t="shared" si="27"/>
        <v>0.20338983050847459</v>
      </c>
      <c r="H654" t="s">
        <v>9</v>
      </c>
    </row>
    <row r="655" spans="1:8">
      <c r="A655">
        <v>2024</v>
      </c>
      <c r="B655">
        <v>5</v>
      </c>
      <c r="C655" t="s">
        <v>33</v>
      </c>
      <c r="D655">
        <f>VLOOKUP(C655,[4]FP!$C:$R,16,0)</f>
        <v>34</v>
      </c>
      <c r="E655">
        <f>VLOOKUP(C655,[4]FP!$C:$N,12,0)</f>
        <v>31</v>
      </c>
      <c r="F655">
        <f t="shared" si="28"/>
        <v>3</v>
      </c>
      <c r="G655">
        <f t="shared" si="27"/>
        <v>9.6774193548387094E-2</v>
      </c>
      <c r="H655" t="s">
        <v>9</v>
      </c>
    </row>
    <row r="656" spans="1:8">
      <c r="A656">
        <v>2024</v>
      </c>
      <c r="B656">
        <v>5</v>
      </c>
      <c r="C656" t="s">
        <v>35</v>
      </c>
      <c r="D656">
        <f>VLOOKUP(C656,[4]FP!$C:$R,16,0)</f>
        <v>30</v>
      </c>
      <c r="E656">
        <f>VLOOKUP(C656,[4]FP!$C:$N,12,0)</f>
        <v>31</v>
      </c>
      <c r="F656">
        <f t="shared" si="28"/>
        <v>-1</v>
      </c>
      <c r="G656">
        <f t="shared" si="27"/>
        <v>-3.2258064516129031E-2</v>
      </c>
      <c r="H656" t="s">
        <v>9</v>
      </c>
    </row>
    <row r="657" spans="1:8">
      <c r="A657">
        <v>2024</v>
      </c>
      <c r="B657">
        <v>5</v>
      </c>
      <c r="C657" t="s">
        <v>15</v>
      </c>
      <c r="D657">
        <v>64</v>
      </c>
      <c r="E657">
        <v>65</v>
      </c>
      <c r="F657">
        <f t="shared" si="28"/>
        <v>-1</v>
      </c>
      <c r="G657">
        <f t="shared" si="27"/>
        <v>-1.5384615384615385E-2</v>
      </c>
      <c r="H657" t="s">
        <v>34</v>
      </c>
    </row>
    <row r="658" spans="1:8">
      <c r="A658">
        <v>2024</v>
      </c>
      <c r="B658">
        <v>6</v>
      </c>
      <c r="C658" t="s">
        <v>8</v>
      </c>
      <c r="D658">
        <f>VLOOKUP(C658,[5]FP!$C:$S,17,0)</f>
        <v>14</v>
      </c>
      <c r="E658">
        <f>VLOOKUP(C658,[5]FP!$C:$O,13,0)</f>
        <v>12</v>
      </c>
      <c r="F658">
        <f t="shared" si="28"/>
        <v>2</v>
      </c>
      <c r="G658">
        <f t="shared" si="27"/>
        <v>0.16666666666666666</v>
      </c>
      <c r="H658" t="s">
        <v>9</v>
      </c>
    </row>
    <row r="659" spans="1:8">
      <c r="A659">
        <v>2024</v>
      </c>
      <c r="B659">
        <v>6</v>
      </c>
      <c r="C659" t="s">
        <v>10</v>
      </c>
      <c r="D659">
        <f>VLOOKUP(C659,[5]FP!$C:$S,17,0)</f>
        <v>48</v>
      </c>
      <c r="E659">
        <f>VLOOKUP(C659,[5]FP!$C:$O,13,0)</f>
        <v>45</v>
      </c>
      <c r="F659">
        <f t="shared" si="28"/>
        <v>3</v>
      </c>
      <c r="G659">
        <f t="shared" si="27"/>
        <v>6.6666666666666666E-2</v>
      </c>
      <c r="H659" t="s">
        <v>9</v>
      </c>
    </row>
    <row r="660" spans="1:8">
      <c r="A660">
        <v>2024</v>
      </c>
      <c r="B660">
        <v>6</v>
      </c>
      <c r="C660" t="s">
        <v>11</v>
      </c>
      <c r="D660">
        <f>VLOOKUP(C660,[5]FP!$C:$S,17,0)</f>
        <v>48</v>
      </c>
      <c r="E660">
        <f>VLOOKUP(C660,[5]FP!$C:$O,13,0)</f>
        <v>46</v>
      </c>
      <c r="F660">
        <f t="shared" si="28"/>
        <v>2</v>
      </c>
      <c r="G660">
        <f t="shared" si="27"/>
        <v>4.3478260869565216E-2</v>
      </c>
      <c r="H660" t="s">
        <v>9</v>
      </c>
    </row>
    <row r="661" spans="1:8">
      <c r="A661">
        <v>2024</v>
      </c>
      <c r="B661">
        <v>6</v>
      </c>
      <c r="C661" t="s">
        <v>12</v>
      </c>
      <c r="D661">
        <f>VLOOKUP(C661,[5]FP!$C:$S,17,0)</f>
        <v>71</v>
      </c>
      <c r="E661">
        <f>VLOOKUP(C661,[5]FP!$C:$O,13,0)</f>
        <v>70</v>
      </c>
      <c r="F661">
        <f t="shared" si="28"/>
        <v>1</v>
      </c>
      <c r="G661">
        <f t="shared" si="27"/>
        <v>1.4285714285714285E-2</v>
      </c>
      <c r="H661" t="s">
        <v>9</v>
      </c>
    </row>
    <row r="662" spans="1:8">
      <c r="A662">
        <v>2024</v>
      </c>
      <c r="B662">
        <v>6</v>
      </c>
      <c r="C662" t="s">
        <v>13</v>
      </c>
      <c r="D662">
        <f>VLOOKUP(C662,[5]FP!$C:$S,17,0)</f>
        <v>18</v>
      </c>
      <c r="E662">
        <f>VLOOKUP(C662,[5]FP!$C:$O,13,0)</f>
        <v>16</v>
      </c>
      <c r="F662">
        <f t="shared" si="28"/>
        <v>2</v>
      </c>
      <c r="G662">
        <f t="shared" si="27"/>
        <v>0.125</v>
      </c>
      <c r="H662" t="s">
        <v>9</v>
      </c>
    </row>
    <row r="663" spans="1:8">
      <c r="A663">
        <v>2024</v>
      </c>
      <c r="B663">
        <v>6</v>
      </c>
      <c r="C663" t="s">
        <v>14</v>
      </c>
      <c r="D663">
        <f>VLOOKUP(C663,[5]FP!$C:$S,17,0)</f>
        <v>245</v>
      </c>
      <c r="E663">
        <f>VLOOKUP(C663,[5]FP!$C:$O,13,0)</f>
        <v>263</v>
      </c>
      <c r="F663">
        <f t="shared" si="28"/>
        <v>-18</v>
      </c>
      <c r="G663">
        <f t="shared" si="27"/>
        <v>-6.8441064638783272E-2</v>
      </c>
      <c r="H663" t="s">
        <v>9</v>
      </c>
    </row>
    <row r="664" spans="1:8">
      <c r="A664">
        <v>2024</v>
      </c>
      <c r="B664">
        <v>6</v>
      </c>
      <c r="C664" t="s">
        <v>15</v>
      </c>
      <c r="D664">
        <v>167</v>
      </c>
      <c r="E664">
        <v>162</v>
      </c>
      <c r="F664">
        <f t="shared" si="28"/>
        <v>5</v>
      </c>
      <c r="G664">
        <f t="shared" si="27"/>
        <v>3.0864197530864196E-2</v>
      </c>
      <c r="H664" t="s">
        <v>9</v>
      </c>
    </row>
    <row r="665" spans="1:8">
      <c r="A665">
        <v>2024</v>
      </c>
      <c r="B665">
        <v>6</v>
      </c>
      <c r="C665" t="s">
        <v>16</v>
      </c>
      <c r="D665">
        <f>VLOOKUP(C665,[5]FP!$C:$S,17,0)</f>
        <v>39</v>
      </c>
      <c r="E665">
        <f>VLOOKUP(C665,[5]FP!$C:$O,13,0)</f>
        <v>37</v>
      </c>
      <c r="F665">
        <f t="shared" si="28"/>
        <v>2</v>
      </c>
      <c r="G665">
        <f t="shared" si="27"/>
        <v>5.4054054054054057E-2</v>
      </c>
      <c r="H665" t="s">
        <v>9</v>
      </c>
    </row>
    <row r="666" spans="1:8">
      <c r="A666">
        <v>2024</v>
      </c>
      <c r="B666">
        <v>6</v>
      </c>
      <c r="C666" t="s">
        <v>17</v>
      </c>
      <c r="D666">
        <f>VLOOKUP(C666,[5]FP!$C:$S,17,0)</f>
        <v>45</v>
      </c>
      <c r="E666">
        <f>VLOOKUP(C666,[5]FP!$C:$O,13,0)</f>
        <v>41</v>
      </c>
      <c r="F666">
        <f t="shared" si="28"/>
        <v>4</v>
      </c>
      <c r="G666">
        <f t="shared" si="27"/>
        <v>9.7560975609756101E-2</v>
      </c>
      <c r="H666" t="s">
        <v>9</v>
      </c>
    </row>
    <row r="667" spans="1:8">
      <c r="A667">
        <v>2024</v>
      </c>
      <c r="B667">
        <v>6</v>
      </c>
      <c r="C667" t="s">
        <v>18</v>
      </c>
      <c r="D667">
        <f>VLOOKUP(C667,[5]FP!$C:$S,17,0)</f>
        <v>59</v>
      </c>
      <c r="E667">
        <f>VLOOKUP(C667,[5]FP!$C:$O,13,0)</f>
        <v>57</v>
      </c>
      <c r="F667">
        <f t="shared" si="28"/>
        <v>2</v>
      </c>
      <c r="G667">
        <f t="shared" si="27"/>
        <v>3.5087719298245612E-2</v>
      </c>
      <c r="H667" t="s">
        <v>9</v>
      </c>
    </row>
    <row r="668" spans="1:8">
      <c r="A668">
        <v>2024</v>
      </c>
      <c r="B668">
        <v>6</v>
      </c>
      <c r="C668" t="s">
        <v>19</v>
      </c>
      <c r="D668">
        <f>VLOOKUP(C668,[5]FP!$C:$S,17,0)</f>
        <v>87</v>
      </c>
      <c r="E668">
        <f>VLOOKUP(C668,[5]FP!$C:$O,13,0)</f>
        <v>80</v>
      </c>
      <c r="F668">
        <f t="shared" si="28"/>
        <v>7</v>
      </c>
      <c r="G668">
        <f t="shared" si="27"/>
        <v>8.7499999999999994E-2</v>
      </c>
      <c r="H668" t="s">
        <v>9</v>
      </c>
    </row>
    <row r="669" spans="1:8">
      <c r="A669">
        <v>2024</v>
      </c>
      <c r="B669">
        <v>6</v>
      </c>
      <c r="C669" t="s">
        <v>20</v>
      </c>
      <c r="D669">
        <f>VLOOKUP(C669,[5]FP!$C:$S,17,0)</f>
        <v>34</v>
      </c>
      <c r="E669">
        <f>VLOOKUP(C669,[5]FP!$C:$O,13,0)</f>
        <v>30</v>
      </c>
      <c r="F669">
        <f t="shared" si="28"/>
        <v>4</v>
      </c>
      <c r="G669">
        <f t="shared" si="27"/>
        <v>0.13333333333333333</v>
      </c>
      <c r="H669" t="s">
        <v>9</v>
      </c>
    </row>
    <row r="670" spans="1:8">
      <c r="A670">
        <v>2024</v>
      </c>
      <c r="B670">
        <v>6</v>
      </c>
      <c r="C670" t="s">
        <v>21</v>
      </c>
      <c r="D670">
        <f>VLOOKUP(C670,[5]FP!$C:$S,17,0)</f>
        <v>108</v>
      </c>
      <c r="E670">
        <f>VLOOKUP(C670,[5]FP!$C:$O,13,0)</f>
        <v>117</v>
      </c>
      <c r="F670">
        <f t="shared" si="28"/>
        <v>-9</v>
      </c>
      <c r="G670">
        <f t="shared" si="27"/>
        <v>-7.6923076923076927E-2</v>
      </c>
      <c r="H670" t="s">
        <v>9</v>
      </c>
    </row>
    <row r="671" spans="1:8">
      <c r="A671">
        <v>2024</v>
      </c>
      <c r="B671">
        <v>6</v>
      </c>
      <c r="C671" t="s">
        <v>22</v>
      </c>
      <c r="D671">
        <f>VLOOKUP(C671,[5]FP!$C:$S,17,0)</f>
        <v>21</v>
      </c>
      <c r="E671">
        <f>VLOOKUP(C671,[5]FP!$C:$O,13,0)</f>
        <v>21</v>
      </c>
      <c r="F671">
        <f t="shared" si="28"/>
        <v>0</v>
      </c>
      <c r="G671">
        <f t="shared" si="27"/>
        <v>0</v>
      </c>
      <c r="H671" t="s">
        <v>9</v>
      </c>
    </row>
    <row r="672" spans="1:8">
      <c r="A672">
        <v>2024</v>
      </c>
      <c r="B672">
        <v>6</v>
      </c>
      <c r="C672" t="s">
        <v>23</v>
      </c>
      <c r="D672">
        <f>VLOOKUP(C672,[5]FP!$C:$S,17,0)</f>
        <v>35</v>
      </c>
      <c r="E672">
        <f>VLOOKUP(C672,[5]FP!$C:$O,13,0)</f>
        <v>35</v>
      </c>
      <c r="F672">
        <f t="shared" si="28"/>
        <v>0</v>
      </c>
      <c r="G672">
        <f t="shared" si="27"/>
        <v>0</v>
      </c>
      <c r="H672" t="s">
        <v>9</v>
      </c>
    </row>
    <row r="673" spans="1:8">
      <c r="A673">
        <v>2024</v>
      </c>
      <c r="B673">
        <v>6</v>
      </c>
      <c r="C673" t="s">
        <v>24</v>
      </c>
      <c r="D673">
        <f>VLOOKUP(C673,[5]FP!$C:$S,17,0)</f>
        <v>67</v>
      </c>
      <c r="E673">
        <f>VLOOKUP(C673,[5]FP!$C:$O,13,0)</f>
        <v>64</v>
      </c>
      <c r="F673">
        <f t="shared" si="28"/>
        <v>3</v>
      </c>
      <c r="G673">
        <f t="shared" si="27"/>
        <v>4.6875E-2</v>
      </c>
      <c r="H673" t="s">
        <v>9</v>
      </c>
    </row>
    <row r="674" spans="1:8">
      <c r="A674">
        <v>2024</v>
      </c>
      <c r="B674">
        <v>6</v>
      </c>
      <c r="C674" t="s">
        <v>25</v>
      </c>
      <c r="D674">
        <f>VLOOKUP(C674,[5]FP!$C:$S,17,0)</f>
        <v>68</v>
      </c>
      <c r="E674">
        <f>VLOOKUP(C674,[5]FP!$C:$O,13,0)</f>
        <v>76</v>
      </c>
      <c r="F674">
        <f t="shared" si="28"/>
        <v>-8</v>
      </c>
      <c r="G674">
        <f t="shared" si="27"/>
        <v>-0.10526315789473684</v>
      </c>
      <c r="H674" t="s">
        <v>9</v>
      </c>
    </row>
    <row r="675" spans="1:8">
      <c r="A675">
        <v>2024</v>
      </c>
      <c r="B675">
        <v>6</v>
      </c>
      <c r="C675" t="s">
        <v>26</v>
      </c>
      <c r="D675">
        <f>VLOOKUP(C675,[5]FP!$C:$S,17,0)</f>
        <v>50</v>
      </c>
      <c r="E675">
        <f>VLOOKUP(C675,[5]FP!$C:$O,13,0)</f>
        <v>60</v>
      </c>
      <c r="F675">
        <f t="shared" si="28"/>
        <v>-10</v>
      </c>
      <c r="G675">
        <f t="shared" si="27"/>
        <v>-0.16666666666666666</v>
      </c>
      <c r="H675" t="s">
        <v>9</v>
      </c>
    </row>
    <row r="676" spans="1:8">
      <c r="A676">
        <v>2024</v>
      </c>
      <c r="B676">
        <v>6</v>
      </c>
      <c r="C676" t="s">
        <v>27</v>
      </c>
      <c r="D676">
        <f>VLOOKUP(C676,[5]FP!$C:$S,17,0)</f>
        <v>108</v>
      </c>
      <c r="E676">
        <f>VLOOKUP(C676,[5]FP!$C:$O,13,0)</f>
        <v>114</v>
      </c>
      <c r="F676">
        <f t="shared" si="28"/>
        <v>-6</v>
      </c>
      <c r="G676">
        <f t="shared" si="27"/>
        <v>-5.2631578947368418E-2</v>
      </c>
      <c r="H676" t="s">
        <v>9</v>
      </c>
    </row>
    <row r="677" spans="1:8">
      <c r="A677">
        <v>2024</v>
      </c>
      <c r="B677">
        <v>6</v>
      </c>
      <c r="C677" t="s">
        <v>28</v>
      </c>
      <c r="D677">
        <f>VLOOKUP(C677,[5]FP!$C:$S,17,0)</f>
        <v>35</v>
      </c>
      <c r="E677">
        <f>VLOOKUP(C677,[5]FP!$C:$O,13,0)</f>
        <v>38</v>
      </c>
      <c r="F677">
        <f t="shared" si="28"/>
        <v>-3</v>
      </c>
      <c r="G677">
        <f t="shared" si="27"/>
        <v>-7.8947368421052627E-2</v>
      </c>
      <c r="H677" t="s">
        <v>9</v>
      </c>
    </row>
    <row r="678" spans="1:8">
      <c r="A678">
        <v>2024</v>
      </c>
      <c r="B678">
        <v>6</v>
      </c>
      <c r="C678" t="s">
        <v>29</v>
      </c>
      <c r="D678">
        <f>VLOOKUP(C678,[5]FP!$C:$S,17,0)</f>
        <v>49</v>
      </c>
      <c r="E678">
        <f>VLOOKUP(C678,[5]FP!$C:$O,13,0)</f>
        <v>45</v>
      </c>
      <c r="F678">
        <f t="shared" si="28"/>
        <v>4</v>
      </c>
      <c r="G678">
        <f t="shared" si="27"/>
        <v>8.8888888888888892E-2</v>
      </c>
      <c r="H678" t="s">
        <v>9</v>
      </c>
    </row>
    <row r="679" spans="1:8">
      <c r="A679">
        <v>2024</v>
      </c>
      <c r="B679">
        <v>6</v>
      </c>
      <c r="C679" t="s">
        <v>30</v>
      </c>
      <c r="D679">
        <f>VLOOKUP(C679,[5]FP!$C:$S,17,0)</f>
        <v>74</v>
      </c>
      <c r="E679">
        <f>VLOOKUP(C679,[5]FP!$C:$O,13,0)</f>
        <v>83</v>
      </c>
      <c r="F679">
        <f t="shared" si="28"/>
        <v>-9</v>
      </c>
      <c r="G679">
        <f t="shared" si="27"/>
        <v>-0.10843373493975904</v>
      </c>
      <c r="H679" t="s">
        <v>9</v>
      </c>
    </row>
    <row r="680" spans="1:8">
      <c r="A680">
        <v>2024</v>
      </c>
      <c r="B680">
        <v>6</v>
      </c>
      <c r="C680" t="s">
        <v>31</v>
      </c>
      <c r="D680">
        <f>VLOOKUP(C680,[5]FP!$C:$S,17,0)</f>
        <v>44</v>
      </c>
      <c r="E680">
        <f>VLOOKUP(C680,[5]FP!$C:$O,13,0)</f>
        <v>57</v>
      </c>
      <c r="F680">
        <f t="shared" si="28"/>
        <v>-13</v>
      </c>
      <c r="G680">
        <f t="shared" si="27"/>
        <v>-0.22807017543859648</v>
      </c>
      <c r="H680" t="s">
        <v>9</v>
      </c>
    </row>
    <row r="681" spans="1:8">
      <c r="A681">
        <v>2024</v>
      </c>
      <c r="B681">
        <v>6</v>
      </c>
      <c r="C681" t="s">
        <v>32</v>
      </c>
      <c r="D681">
        <f>VLOOKUP(C681,[5]FP!$C:$S,17,0)</f>
        <v>71</v>
      </c>
      <c r="E681">
        <f>VLOOKUP(C681,[5]FP!$C:$O,13,0)</f>
        <v>62</v>
      </c>
      <c r="F681">
        <f t="shared" si="28"/>
        <v>9</v>
      </c>
      <c r="G681">
        <f t="shared" si="27"/>
        <v>0.14516129032258066</v>
      </c>
      <c r="H681" t="s">
        <v>9</v>
      </c>
    </row>
    <row r="682" spans="1:8">
      <c r="A682">
        <v>2024</v>
      </c>
      <c r="B682">
        <v>6</v>
      </c>
      <c r="C682" t="s">
        <v>33</v>
      </c>
      <c r="D682">
        <f>VLOOKUP(C682,[5]FP!$C:$S,17,0)</f>
        <v>34</v>
      </c>
      <c r="E682">
        <f>VLOOKUP(C682,[5]FP!$C:$O,13,0)</f>
        <v>32</v>
      </c>
      <c r="F682">
        <f t="shared" si="28"/>
        <v>2</v>
      </c>
      <c r="G682">
        <f t="shared" si="27"/>
        <v>6.25E-2</v>
      </c>
      <c r="H682" t="s">
        <v>9</v>
      </c>
    </row>
    <row r="683" spans="1:8">
      <c r="A683">
        <v>2024</v>
      </c>
      <c r="B683">
        <v>6</v>
      </c>
      <c r="C683" t="s">
        <v>35</v>
      </c>
      <c r="D683">
        <f>VLOOKUP(C683,[5]FP!$C:$S,17,0)</f>
        <v>30</v>
      </c>
      <c r="E683">
        <f>VLOOKUP(C683,[5]FP!$C:$O,13,0)</f>
        <v>29</v>
      </c>
      <c r="F683">
        <f t="shared" si="28"/>
        <v>1</v>
      </c>
      <c r="G683">
        <f t="shared" si="27"/>
        <v>3.4482758620689655E-2</v>
      </c>
      <c r="H683" t="s">
        <v>9</v>
      </c>
    </row>
    <row r="684" spans="1:8">
      <c r="A684">
        <v>2024</v>
      </c>
      <c r="B684">
        <v>6</v>
      </c>
      <c r="C684" t="s">
        <v>15</v>
      </c>
      <c r="D684">
        <v>65</v>
      </c>
      <c r="E684">
        <v>65</v>
      </c>
      <c r="F684">
        <f t="shared" si="28"/>
        <v>0</v>
      </c>
      <c r="G684">
        <f t="shared" si="27"/>
        <v>0</v>
      </c>
      <c r="H684" t="s">
        <v>34</v>
      </c>
    </row>
    <row r="685" spans="1:8">
      <c r="A685">
        <v>2024</v>
      </c>
      <c r="B685">
        <v>7</v>
      </c>
      <c r="C685" t="s">
        <v>8</v>
      </c>
      <c r="D685">
        <f>VLOOKUP(C685,[5]FP!$C:$S,17,0)</f>
        <v>14</v>
      </c>
      <c r="E685">
        <f>VLOOKUP(C685,[5]FP!$C:$O,13,0)</f>
        <v>12</v>
      </c>
      <c r="F685">
        <f t="shared" si="28"/>
        <v>2</v>
      </c>
      <c r="G685">
        <f t="shared" ref="G685:G748" si="29">F685/E685</f>
        <v>0.16666666666666666</v>
      </c>
      <c r="H685" t="s">
        <v>9</v>
      </c>
    </row>
    <row r="686" spans="1:8">
      <c r="A686">
        <v>2024</v>
      </c>
      <c r="B686">
        <v>7</v>
      </c>
      <c r="C686" t="s">
        <v>10</v>
      </c>
      <c r="D686">
        <f>VLOOKUP(C686,[5]FP!$C:$S,17,0)</f>
        <v>48</v>
      </c>
      <c r="E686">
        <f>VLOOKUP(C686,[5]FP!$C:$O,13,0)</f>
        <v>45</v>
      </c>
      <c r="F686">
        <f t="shared" si="28"/>
        <v>3</v>
      </c>
      <c r="G686">
        <f t="shared" si="29"/>
        <v>6.6666666666666666E-2</v>
      </c>
      <c r="H686" t="s">
        <v>9</v>
      </c>
    </row>
    <row r="687" spans="1:8">
      <c r="A687">
        <v>2024</v>
      </c>
      <c r="B687">
        <v>7</v>
      </c>
      <c r="C687" t="s">
        <v>11</v>
      </c>
      <c r="D687">
        <f>VLOOKUP(C687,[5]FP!$C:$S,17,0)</f>
        <v>48</v>
      </c>
      <c r="E687">
        <f>VLOOKUP(C687,[5]FP!$C:$O,13,0)</f>
        <v>46</v>
      </c>
      <c r="F687">
        <f t="shared" si="28"/>
        <v>2</v>
      </c>
      <c r="G687">
        <f t="shared" si="29"/>
        <v>4.3478260869565216E-2</v>
      </c>
      <c r="H687" t="s">
        <v>9</v>
      </c>
    </row>
    <row r="688" spans="1:8">
      <c r="A688">
        <v>2024</v>
      </c>
      <c r="B688">
        <v>7</v>
      </c>
      <c r="C688" t="s">
        <v>12</v>
      </c>
      <c r="D688">
        <f>VLOOKUP(C688,[5]FP!$C:$S,17,0)</f>
        <v>71</v>
      </c>
      <c r="E688">
        <f>VLOOKUP(C688,[5]FP!$C:$O,13,0)</f>
        <v>70</v>
      </c>
      <c r="F688">
        <f t="shared" si="28"/>
        <v>1</v>
      </c>
      <c r="G688">
        <f t="shared" si="29"/>
        <v>1.4285714285714285E-2</v>
      </c>
      <c r="H688" t="s">
        <v>9</v>
      </c>
    </row>
    <row r="689" spans="1:8">
      <c r="A689">
        <v>2024</v>
      </c>
      <c r="B689">
        <v>7</v>
      </c>
      <c r="C689" t="s">
        <v>13</v>
      </c>
      <c r="D689">
        <f>VLOOKUP(C689,[5]FP!$C:$S,17,0)</f>
        <v>18</v>
      </c>
      <c r="E689">
        <f>VLOOKUP(C689,[5]FP!$C:$O,13,0)</f>
        <v>16</v>
      </c>
      <c r="F689">
        <f t="shared" si="28"/>
        <v>2</v>
      </c>
      <c r="G689">
        <f t="shared" si="29"/>
        <v>0.125</v>
      </c>
      <c r="H689" t="s">
        <v>9</v>
      </c>
    </row>
    <row r="690" spans="1:8">
      <c r="A690">
        <v>2024</v>
      </c>
      <c r="B690">
        <v>7</v>
      </c>
      <c r="C690" t="s">
        <v>14</v>
      </c>
      <c r="D690">
        <f>VLOOKUP(C690,[5]FP!$C:$S,17,0)</f>
        <v>245</v>
      </c>
      <c r="E690">
        <f>VLOOKUP(C690,[5]FP!$C:$O,13,0)</f>
        <v>263</v>
      </c>
      <c r="F690">
        <f t="shared" si="28"/>
        <v>-18</v>
      </c>
      <c r="G690">
        <f t="shared" si="29"/>
        <v>-6.8441064638783272E-2</v>
      </c>
      <c r="H690" t="s">
        <v>9</v>
      </c>
    </row>
    <row r="691" spans="1:8">
      <c r="A691">
        <v>2024</v>
      </c>
      <c r="B691">
        <v>7</v>
      </c>
      <c r="C691" t="s">
        <v>15</v>
      </c>
      <c r="D691">
        <v>167</v>
      </c>
      <c r="E691">
        <v>162</v>
      </c>
      <c r="F691">
        <f t="shared" si="28"/>
        <v>5</v>
      </c>
      <c r="G691">
        <f t="shared" si="29"/>
        <v>3.0864197530864196E-2</v>
      </c>
      <c r="H691" t="s">
        <v>9</v>
      </c>
    </row>
    <row r="692" spans="1:8">
      <c r="A692">
        <v>2024</v>
      </c>
      <c r="B692">
        <v>7</v>
      </c>
      <c r="C692" t="s">
        <v>16</v>
      </c>
      <c r="D692">
        <f>VLOOKUP(C692,[5]FP!$C:$S,17,0)</f>
        <v>39</v>
      </c>
      <c r="E692">
        <f>VLOOKUP(C692,[5]FP!$C:$O,13,0)</f>
        <v>37</v>
      </c>
      <c r="F692">
        <f t="shared" si="28"/>
        <v>2</v>
      </c>
      <c r="G692">
        <f t="shared" si="29"/>
        <v>5.4054054054054057E-2</v>
      </c>
      <c r="H692" t="s">
        <v>9</v>
      </c>
    </row>
    <row r="693" spans="1:8">
      <c r="A693">
        <v>2024</v>
      </c>
      <c r="B693">
        <v>7</v>
      </c>
      <c r="C693" t="s">
        <v>17</v>
      </c>
      <c r="D693">
        <f>VLOOKUP(C693,[5]FP!$C:$S,17,0)</f>
        <v>45</v>
      </c>
      <c r="E693">
        <f>VLOOKUP(C693,[5]FP!$C:$O,13,0)</f>
        <v>41</v>
      </c>
      <c r="F693">
        <f t="shared" si="28"/>
        <v>4</v>
      </c>
      <c r="G693">
        <f t="shared" si="29"/>
        <v>9.7560975609756101E-2</v>
      </c>
      <c r="H693" t="s">
        <v>9</v>
      </c>
    </row>
    <row r="694" spans="1:8">
      <c r="A694">
        <v>2024</v>
      </c>
      <c r="B694">
        <v>7</v>
      </c>
      <c r="C694" t="s">
        <v>18</v>
      </c>
      <c r="D694">
        <f>VLOOKUP(C694,[5]FP!$C:$S,17,0)</f>
        <v>59</v>
      </c>
      <c r="E694">
        <f>VLOOKUP(C694,[5]FP!$C:$O,13,0)</f>
        <v>57</v>
      </c>
      <c r="F694">
        <f t="shared" si="28"/>
        <v>2</v>
      </c>
      <c r="G694">
        <f t="shared" si="29"/>
        <v>3.5087719298245612E-2</v>
      </c>
      <c r="H694" t="s">
        <v>9</v>
      </c>
    </row>
    <row r="695" spans="1:8">
      <c r="A695">
        <v>2024</v>
      </c>
      <c r="B695">
        <v>7</v>
      </c>
      <c r="C695" t="s">
        <v>19</v>
      </c>
      <c r="D695">
        <f>VLOOKUP(C695,[5]FP!$C:$S,17,0)</f>
        <v>87</v>
      </c>
      <c r="E695">
        <f>VLOOKUP(C695,[5]FP!$C:$O,13,0)</f>
        <v>80</v>
      </c>
      <c r="F695">
        <f t="shared" si="28"/>
        <v>7</v>
      </c>
      <c r="G695">
        <f t="shared" si="29"/>
        <v>8.7499999999999994E-2</v>
      </c>
      <c r="H695" t="s">
        <v>9</v>
      </c>
    </row>
    <row r="696" spans="1:8">
      <c r="A696">
        <v>2024</v>
      </c>
      <c r="B696">
        <v>7</v>
      </c>
      <c r="C696" t="s">
        <v>20</v>
      </c>
      <c r="D696">
        <f>VLOOKUP(C696,[5]FP!$C:$S,17,0)</f>
        <v>34</v>
      </c>
      <c r="E696">
        <f>VLOOKUP(C696,[5]FP!$C:$O,13,0)</f>
        <v>30</v>
      </c>
      <c r="F696">
        <f t="shared" si="28"/>
        <v>4</v>
      </c>
      <c r="G696">
        <f t="shared" si="29"/>
        <v>0.13333333333333333</v>
      </c>
      <c r="H696" t="s">
        <v>9</v>
      </c>
    </row>
    <row r="697" spans="1:8">
      <c r="A697">
        <v>2024</v>
      </c>
      <c r="B697">
        <v>7</v>
      </c>
      <c r="C697" t="s">
        <v>21</v>
      </c>
      <c r="D697">
        <f>VLOOKUP(C697,[5]FP!$C:$S,17,0)</f>
        <v>108</v>
      </c>
      <c r="E697">
        <f>VLOOKUP(C697,[5]FP!$C:$O,13,0)</f>
        <v>117</v>
      </c>
      <c r="F697">
        <f t="shared" si="28"/>
        <v>-9</v>
      </c>
      <c r="G697">
        <f t="shared" si="29"/>
        <v>-7.6923076923076927E-2</v>
      </c>
      <c r="H697" t="s">
        <v>9</v>
      </c>
    </row>
    <row r="698" spans="1:8">
      <c r="A698">
        <v>2024</v>
      </c>
      <c r="B698">
        <v>7</v>
      </c>
      <c r="C698" t="s">
        <v>22</v>
      </c>
      <c r="D698">
        <f>VLOOKUP(C698,[5]FP!$C:$S,17,0)</f>
        <v>21</v>
      </c>
      <c r="E698">
        <f>VLOOKUP(C698,[5]FP!$C:$O,13,0)</f>
        <v>21</v>
      </c>
      <c r="F698">
        <f t="shared" si="28"/>
        <v>0</v>
      </c>
      <c r="G698">
        <f t="shared" si="29"/>
        <v>0</v>
      </c>
      <c r="H698" t="s">
        <v>9</v>
      </c>
    </row>
    <row r="699" spans="1:8">
      <c r="A699">
        <v>2024</v>
      </c>
      <c r="B699">
        <v>7</v>
      </c>
      <c r="C699" t="s">
        <v>23</v>
      </c>
      <c r="D699">
        <f>VLOOKUP(C699,[5]FP!$C:$S,17,0)</f>
        <v>35</v>
      </c>
      <c r="E699">
        <f>VLOOKUP(C699,[5]FP!$C:$O,13,0)</f>
        <v>35</v>
      </c>
      <c r="F699">
        <f t="shared" si="28"/>
        <v>0</v>
      </c>
      <c r="G699">
        <f t="shared" si="29"/>
        <v>0</v>
      </c>
      <c r="H699" t="s">
        <v>9</v>
      </c>
    </row>
    <row r="700" spans="1:8">
      <c r="A700">
        <v>2024</v>
      </c>
      <c r="B700">
        <v>7</v>
      </c>
      <c r="C700" t="s">
        <v>24</v>
      </c>
      <c r="D700">
        <f>VLOOKUP(C700,[5]FP!$C:$S,17,0)</f>
        <v>67</v>
      </c>
      <c r="E700">
        <f>VLOOKUP(C700,[5]FP!$C:$O,13,0)</f>
        <v>64</v>
      </c>
      <c r="F700">
        <f t="shared" si="28"/>
        <v>3</v>
      </c>
      <c r="G700">
        <f t="shared" si="29"/>
        <v>4.6875E-2</v>
      </c>
      <c r="H700" t="s">
        <v>9</v>
      </c>
    </row>
    <row r="701" spans="1:8">
      <c r="A701">
        <v>2024</v>
      </c>
      <c r="B701">
        <v>7</v>
      </c>
      <c r="C701" t="s">
        <v>25</v>
      </c>
      <c r="D701">
        <f>VLOOKUP(C701,[5]FP!$C:$S,17,0)</f>
        <v>68</v>
      </c>
      <c r="E701">
        <f>VLOOKUP(C701,[5]FP!$C:$O,13,0)</f>
        <v>76</v>
      </c>
      <c r="F701">
        <f t="shared" si="28"/>
        <v>-8</v>
      </c>
      <c r="G701">
        <f t="shared" si="29"/>
        <v>-0.10526315789473684</v>
      </c>
      <c r="H701" t="s">
        <v>9</v>
      </c>
    </row>
    <row r="702" spans="1:8">
      <c r="A702">
        <v>2024</v>
      </c>
      <c r="B702">
        <v>7</v>
      </c>
      <c r="C702" t="s">
        <v>26</v>
      </c>
      <c r="D702">
        <f>VLOOKUP(C702,[5]FP!$C:$S,17,0)</f>
        <v>50</v>
      </c>
      <c r="E702">
        <f>VLOOKUP(C702,[5]FP!$C:$O,13,0)</f>
        <v>60</v>
      </c>
      <c r="F702">
        <f t="shared" ref="F702:F765" si="30">D702-E702</f>
        <v>-10</v>
      </c>
      <c r="G702">
        <f t="shared" si="29"/>
        <v>-0.16666666666666666</v>
      </c>
      <c r="H702" t="s">
        <v>9</v>
      </c>
    </row>
    <row r="703" spans="1:8">
      <c r="A703">
        <v>2024</v>
      </c>
      <c r="B703">
        <v>7</v>
      </c>
      <c r="C703" t="s">
        <v>27</v>
      </c>
      <c r="D703">
        <f>VLOOKUP(C703,[5]FP!$C:$S,17,0)</f>
        <v>108</v>
      </c>
      <c r="E703">
        <f>VLOOKUP(C703,[5]FP!$C:$O,13,0)</f>
        <v>114</v>
      </c>
      <c r="F703">
        <f t="shared" si="30"/>
        <v>-6</v>
      </c>
      <c r="G703">
        <f t="shared" si="29"/>
        <v>-5.2631578947368418E-2</v>
      </c>
      <c r="H703" t="s">
        <v>9</v>
      </c>
    </row>
    <row r="704" spans="1:8">
      <c r="A704">
        <v>2024</v>
      </c>
      <c r="B704">
        <v>7</v>
      </c>
      <c r="C704" t="s">
        <v>28</v>
      </c>
      <c r="D704">
        <f>VLOOKUP(C704,[5]FP!$C:$S,17,0)</f>
        <v>35</v>
      </c>
      <c r="E704">
        <f>VLOOKUP(C704,[5]FP!$C:$O,13,0)</f>
        <v>38</v>
      </c>
      <c r="F704">
        <f t="shared" si="30"/>
        <v>-3</v>
      </c>
      <c r="G704">
        <f t="shared" si="29"/>
        <v>-7.8947368421052627E-2</v>
      </c>
      <c r="H704" t="s">
        <v>9</v>
      </c>
    </row>
    <row r="705" spans="1:8">
      <c r="A705">
        <v>2024</v>
      </c>
      <c r="B705">
        <v>7</v>
      </c>
      <c r="C705" t="s">
        <v>29</v>
      </c>
      <c r="D705">
        <f>VLOOKUP(C705,[5]FP!$C:$S,17,0)</f>
        <v>49</v>
      </c>
      <c r="E705">
        <f>VLOOKUP(C705,[5]FP!$C:$O,13,0)</f>
        <v>45</v>
      </c>
      <c r="F705">
        <f t="shared" si="30"/>
        <v>4</v>
      </c>
      <c r="G705">
        <f t="shared" si="29"/>
        <v>8.8888888888888892E-2</v>
      </c>
      <c r="H705" t="s">
        <v>9</v>
      </c>
    </row>
    <row r="706" spans="1:8">
      <c r="A706">
        <v>2024</v>
      </c>
      <c r="B706">
        <v>7</v>
      </c>
      <c r="C706" t="s">
        <v>30</v>
      </c>
      <c r="D706">
        <f>VLOOKUP(C706,[5]FP!$C:$S,17,0)</f>
        <v>74</v>
      </c>
      <c r="E706">
        <f>VLOOKUP(C706,[5]FP!$C:$O,13,0)</f>
        <v>83</v>
      </c>
      <c r="F706">
        <f t="shared" si="30"/>
        <v>-9</v>
      </c>
      <c r="G706">
        <f t="shared" si="29"/>
        <v>-0.10843373493975904</v>
      </c>
      <c r="H706" t="s">
        <v>9</v>
      </c>
    </row>
    <row r="707" spans="1:8">
      <c r="A707">
        <v>2024</v>
      </c>
      <c r="B707">
        <v>7</v>
      </c>
      <c r="C707" t="s">
        <v>31</v>
      </c>
      <c r="D707">
        <f>VLOOKUP(C707,[5]FP!$C:$S,17,0)</f>
        <v>44</v>
      </c>
      <c r="E707">
        <f>VLOOKUP(C707,[5]FP!$C:$O,13,0)</f>
        <v>57</v>
      </c>
      <c r="F707">
        <f t="shared" si="30"/>
        <v>-13</v>
      </c>
      <c r="G707">
        <f t="shared" si="29"/>
        <v>-0.22807017543859648</v>
      </c>
      <c r="H707" t="s">
        <v>9</v>
      </c>
    </row>
    <row r="708" spans="1:8">
      <c r="A708">
        <v>2024</v>
      </c>
      <c r="B708">
        <v>7</v>
      </c>
      <c r="C708" t="s">
        <v>32</v>
      </c>
      <c r="D708">
        <f>VLOOKUP(C708,[5]FP!$C:$S,17,0)</f>
        <v>71</v>
      </c>
      <c r="E708">
        <f>VLOOKUP(C708,[5]FP!$C:$O,13,0)</f>
        <v>62</v>
      </c>
      <c r="F708">
        <f t="shared" si="30"/>
        <v>9</v>
      </c>
      <c r="G708">
        <f t="shared" si="29"/>
        <v>0.14516129032258066</v>
      </c>
      <c r="H708" t="s">
        <v>9</v>
      </c>
    </row>
    <row r="709" spans="1:8">
      <c r="A709">
        <v>2024</v>
      </c>
      <c r="B709">
        <v>7</v>
      </c>
      <c r="C709" t="s">
        <v>33</v>
      </c>
      <c r="D709">
        <f>VLOOKUP(C709,[5]FP!$C:$S,17,0)</f>
        <v>34</v>
      </c>
      <c r="E709">
        <f>VLOOKUP(C709,[5]FP!$C:$O,13,0)</f>
        <v>32</v>
      </c>
      <c r="F709">
        <f t="shared" si="30"/>
        <v>2</v>
      </c>
      <c r="G709">
        <f t="shared" si="29"/>
        <v>6.25E-2</v>
      </c>
      <c r="H709" t="s">
        <v>9</v>
      </c>
    </row>
    <row r="710" spans="1:8">
      <c r="A710">
        <v>2024</v>
      </c>
      <c r="B710">
        <v>7</v>
      </c>
      <c r="C710" t="s">
        <v>35</v>
      </c>
      <c r="D710">
        <f>VLOOKUP(C710,[5]FP!$C:$S,17,0)</f>
        <v>30</v>
      </c>
      <c r="E710">
        <f>VLOOKUP(C710,[5]FP!$C:$O,13,0)</f>
        <v>29</v>
      </c>
      <c r="F710">
        <f t="shared" si="30"/>
        <v>1</v>
      </c>
      <c r="G710">
        <f t="shared" si="29"/>
        <v>3.4482758620689655E-2</v>
      </c>
      <c r="H710" t="s">
        <v>9</v>
      </c>
    </row>
    <row r="711" spans="1:8">
      <c r="A711">
        <v>2024</v>
      </c>
      <c r="B711">
        <v>7</v>
      </c>
      <c r="C711" t="s">
        <v>15</v>
      </c>
      <c r="D711">
        <v>65</v>
      </c>
      <c r="E711">
        <v>65</v>
      </c>
      <c r="F711">
        <f t="shared" si="30"/>
        <v>0</v>
      </c>
      <c r="G711">
        <f t="shared" si="29"/>
        <v>0</v>
      </c>
      <c r="H711" t="s">
        <v>34</v>
      </c>
    </row>
    <row r="712" spans="1:8">
      <c r="A712">
        <v>2024</v>
      </c>
      <c r="B712">
        <v>8</v>
      </c>
      <c r="C712" t="s">
        <v>8</v>
      </c>
      <c r="D712">
        <f>VLOOKUP(C712,[5]FP!$C:$S,17,0)</f>
        <v>14</v>
      </c>
      <c r="E712">
        <f>VLOOKUP(C712,[5]FP!$C:$O,13,0)</f>
        <v>12</v>
      </c>
      <c r="F712">
        <f t="shared" si="30"/>
        <v>2</v>
      </c>
      <c r="G712">
        <f t="shared" si="29"/>
        <v>0.16666666666666666</v>
      </c>
      <c r="H712" t="s">
        <v>9</v>
      </c>
    </row>
    <row r="713" spans="1:8">
      <c r="A713">
        <v>2024</v>
      </c>
      <c r="B713">
        <v>8</v>
      </c>
      <c r="C713" t="s">
        <v>10</v>
      </c>
      <c r="D713">
        <f>VLOOKUP(C713,[5]FP!$C:$S,17,0)</f>
        <v>48</v>
      </c>
      <c r="E713">
        <f>VLOOKUP(C713,[5]FP!$C:$O,13,0)</f>
        <v>45</v>
      </c>
      <c r="F713">
        <f t="shared" si="30"/>
        <v>3</v>
      </c>
      <c r="G713">
        <f t="shared" si="29"/>
        <v>6.6666666666666666E-2</v>
      </c>
      <c r="H713" t="s">
        <v>9</v>
      </c>
    </row>
    <row r="714" spans="1:8">
      <c r="A714">
        <v>2024</v>
      </c>
      <c r="B714">
        <v>8</v>
      </c>
      <c r="C714" t="s">
        <v>11</v>
      </c>
      <c r="D714">
        <f>VLOOKUP(C714,[5]FP!$C:$S,17,0)</f>
        <v>48</v>
      </c>
      <c r="E714">
        <f>VLOOKUP(C714,[5]FP!$C:$O,13,0)</f>
        <v>46</v>
      </c>
      <c r="F714">
        <f t="shared" si="30"/>
        <v>2</v>
      </c>
      <c r="G714">
        <f t="shared" si="29"/>
        <v>4.3478260869565216E-2</v>
      </c>
      <c r="H714" t="s">
        <v>9</v>
      </c>
    </row>
    <row r="715" spans="1:8">
      <c r="A715">
        <v>2024</v>
      </c>
      <c r="B715">
        <v>8</v>
      </c>
      <c r="C715" t="s">
        <v>12</v>
      </c>
      <c r="D715">
        <f>VLOOKUP(C715,[5]FP!$C:$S,17,0)</f>
        <v>71</v>
      </c>
      <c r="E715">
        <f>VLOOKUP(C715,[5]FP!$C:$O,13,0)</f>
        <v>70</v>
      </c>
      <c r="F715">
        <f t="shared" si="30"/>
        <v>1</v>
      </c>
      <c r="G715">
        <f t="shared" si="29"/>
        <v>1.4285714285714285E-2</v>
      </c>
      <c r="H715" t="s">
        <v>9</v>
      </c>
    </row>
    <row r="716" spans="1:8">
      <c r="A716">
        <v>2024</v>
      </c>
      <c r="B716">
        <v>8</v>
      </c>
      <c r="C716" t="s">
        <v>13</v>
      </c>
      <c r="D716">
        <f>VLOOKUP(C716,[5]FP!$C:$S,17,0)</f>
        <v>18</v>
      </c>
      <c r="E716">
        <f>VLOOKUP(C716,[5]FP!$C:$O,13,0)</f>
        <v>16</v>
      </c>
      <c r="F716">
        <f t="shared" si="30"/>
        <v>2</v>
      </c>
      <c r="G716">
        <f t="shared" si="29"/>
        <v>0.125</v>
      </c>
      <c r="H716" t="s">
        <v>9</v>
      </c>
    </row>
    <row r="717" spans="1:8">
      <c r="A717">
        <v>2024</v>
      </c>
      <c r="B717">
        <v>8</v>
      </c>
      <c r="C717" t="s">
        <v>14</v>
      </c>
      <c r="D717">
        <f>VLOOKUP(C717,[5]FP!$C:$S,17,0)</f>
        <v>245</v>
      </c>
      <c r="E717">
        <f>VLOOKUP(C717,[5]FP!$C:$O,13,0)</f>
        <v>263</v>
      </c>
      <c r="F717">
        <f t="shared" si="30"/>
        <v>-18</v>
      </c>
      <c r="G717">
        <f t="shared" si="29"/>
        <v>-6.8441064638783272E-2</v>
      </c>
      <c r="H717" t="s">
        <v>9</v>
      </c>
    </row>
    <row r="718" spans="1:8">
      <c r="A718">
        <v>2024</v>
      </c>
      <c r="B718">
        <v>8</v>
      </c>
      <c r="C718" t="s">
        <v>15</v>
      </c>
      <c r="D718">
        <v>167</v>
      </c>
      <c r="E718">
        <v>162</v>
      </c>
      <c r="F718">
        <f t="shared" si="30"/>
        <v>5</v>
      </c>
      <c r="G718">
        <f t="shared" si="29"/>
        <v>3.0864197530864196E-2</v>
      </c>
      <c r="H718" t="s">
        <v>9</v>
      </c>
    </row>
    <row r="719" spans="1:8">
      <c r="A719">
        <v>2024</v>
      </c>
      <c r="B719">
        <v>8</v>
      </c>
      <c r="C719" t="s">
        <v>16</v>
      </c>
      <c r="D719">
        <f>VLOOKUP(C719,[5]FP!$C:$S,17,0)</f>
        <v>39</v>
      </c>
      <c r="E719">
        <f>VLOOKUP(C719,[5]FP!$C:$O,13,0)</f>
        <v>37</v>
      </c>
      <c r="F719">
        <f t="shared" si="30"/>
        <v>2</v>
      </c>
      <c r="G719">
        <f t="shared" si="29"/>
        <v>5.4054054054054057E-2</v>
      </c>
      <c r="H719" t="s">
        <v>9</v>
      </c>
    </row>
    <row r="720" spans="1:8">
      <c r="A720">
        <v>2024</v>
      </c>
      <c r="B720">
        <v>8</v>
      </c>
      <c r="C720" t="s">
        <v>17</v>
      </c>
      <c r="D720">
        <f>VLOOKUP(C720,[5]FP!$C:$S,17,0)</f>
        <v>45</v>
      </c>
      <c r="E720">
        <f>VLOOKUP(C720,[5]FP!$C:$O,13,0)</f>
        <v>41</v>
      </c>
      <c r="F720">
        <f t="shared" si="30"/>
        <v>4</v>
      </c>
      <c r="G720">
        <f t="shared" si="29"/>
        <v>9.7560975609756101E-2</v>
      </c>
      <c r="H720" t="s">
        <v>9</v>
      </c>
    </row>
    <row r="721" spans="1:8">
      <c r="A721">
        <v>2024</v>
      </c>
      <c r="B721">
        <v>8</v>
      </c>
      <c r="C721" t="s">
        <v>18</v>
      </c>
      <c r="D721">
        <f>VLOOKUP(C721,[5]FP!$C:$S,17,0)</f>
        <v>59</v>
      </c>
      <c r="E721">
        <f>VLOOKUP(C721,[5]FP!$C:$O,13,0)</f>
        <v>57</v>
      </c>
      <c r="F721">
        <f t="shared" si="30"/>
        <v>2</v>
      </c>
      <c r="G721">
        <f t="shared" si="29"/>
        <v>3.5087719298245612E-2</v>
      </c>
      <c r="H721" t="s">
        <v>9</v>
      </c>
    </row>
    <row r="722" spans="1:8">
      <c r="A722">
        <v>2024</v>
      </c>
      <c r="B722">
        <v>8</v>
      </c>
      <c r="C722" t="s">
        <v>19</v>
      </c>
      <c r="D722">
        <f>VLOOKUP(C722,[5]FP!$C:$S,17,0)</f>
        <v>87</v>
      </c>
      <c r="E722">
        <f>VLOOKUP(C722,[5]FP!$C:$O,13,0)</f>
        <v>80</v>
      </c>
      <c r="F722">
        <f t="shared" si="30"/>
        <v>7</v>
      </c>
      <c r="G722">
        <f t="shared" si="29"/>
        <v>8.7499999999999994E-2</v>
      </c>
      <c r="H722" t="s">
        <v>9</v>
      </c>
    </row>
    <row r="723" spans="1:8">
      <c r="A723">
        <v>2024</v>
      </c>
      <c r="B723">
        <v>8</v>
      </c>
      <c r="C723" t="s">
        <v>20</v>
      </c>
      <c r="D723">
        <f>VLOOKUP(C723,[5]FP!$C:$S,17,0)</f>
        <v>34</v>
      </c>
      <c r="E723">
        <f>VLOOKUP(C723,[5]FP!$C:$O,13,0)</f>
        <v>30</v>
      </c>
      <c r="F723">
        <f t="shared" si="30"/>
        <v>4</v>
      </c>
      <c r="G723">
        <f t="shared" si="29"/>
        <v>0.13333333333333333</v>
      </c>
      <c r="H723" t="s">
        <v>9</v>
      </c>
    </row>
    <row r="724" spans="1:8">
      <c r="A724">
        <v>2024</v>
      </c>
      <c r="B724">
        <v>8</v>
      </c>
      <c r="C724" t="s">
        <v>21</v>
      </c>
      <c r="D724">
        <f>VLOOKUP(C724,[5]FP!$C:$S,17,0)</f>
        <v>108</v>
      </c>
      <c r="E724">
        <f>VLOOKUP(C724,[5]FP!$C:$O,13,0)</f>
        <v>117</v>
      </c>
      <c r="F724">
        <f t="shared" si="30"/>
        <v>-9</v>
      </c>
      <c r="G724">
        <f t="shared" si="29"/>
        <v>-7.6923076923076927E-2</v>
      </c>
      <c r="H724" t="s">
        <v>9</v>
      </c>
    </row>
    <row r="725" spans="1:8">
      <c r="A725">
        <v>2024</v>
      </c>
      <c r="B725">
        <v>8</v>
      </c>
      <c r="C725" t="s">
        <v>22</v>
      </c>
      <c r="D725">
        <f>VLOOKUP(C725,[5]FP!$C:$S,17,0)</f>
        <v>21</v>
      </c>
      <c r="E725">
        <f>VLOOKUP(C725,[5]FP!$C:$O,13,0)</f>
        <v>21</v>
      </c>
      <c r="F725">
        <f t="shared" si="30"/>
        <v>0</v>
      </c>
      <c r="G725">
        <f t="shared" si="29"/>
        <v>0</v>
      </c>
      <c r="H725" t="s">
        <v>9</v>
      </c>
    </row>
    <row r="726" spans="1:8">
      <c r="A726">
        <v>2024</v>
      </c>
      <c r="B726">
        <v>8</v>
      </c>
      <c r="C726" t="s">
        <v>23</v>
      </c>
      <c r="D726">
        <f>VLOOKUP(C726,[5]FP!$C:$S,17,0)</f>
        <v>35</v>
      </c>
      <c r="E726">
        <f>VLOOKUP(C726,[5]FP!$C:$O,13,0)</f>
        <v>35</v>
      </c>
      <c r="F726">
        <f t="shared" si="30"/>
        <v>0</v>
      </c>
      <c r="G726">
        <f t="shared" si="29"/>
        <v>0</v>
      </c>
      <c r="H726" t="s">
        <v>9</v>
      </c>
    </row>
    <row r="727" spans="1:8">
      <c r="A727">
        <v>2024</v>
      </c>
      <c r="B727">
        <v>8</v>
      </c>
      <c r="C727" t="s">
        <v>24</v>
      </c>
      <c r="D727">
        <f>VLOOKUP(C727,[5]FP!$C:$S,17,0)</f>
        <v>67</v>
      </c>
      <c r="E727">
        <f>VLOOKUP(C727,[5]FP!$C:$O,13,0)</f>
        <v>64</v>
      </c>
      <c r="F727">
        <f t="shared" si="30"/>
        <v>3</v>
      </c>
      <c r="G727">
        <f t="shared" si="29"/>
        <v>4.6875E-2</v>
      </c>
      <c r="H727" t="s">
        <v>9</v>
      </c>
    </row>
    <row r="728" spans="1:8">
      <c r="A728">
        <v>2024</v>
      </c>
      <c r="B728">
        <v>8</v>
      </c>
      <c r="C728" t="s">
        <v>25</v>
      </c>
      <c r="D728">
        <f>VLOOKUP(C728,[5]FP!$C:$S,17,0)</f>
        <v>68</v>
      </c>
      <c r="E728">
        <f>VLOOKUP(C728,[5]FP!$C:$O,13,0)</f>
        <v>76</v>
      </c>
      <c r="F728">
        <f t="shared" si="30"/>
        <v>-8</v>
      </c>
      <c r="G728">
        <f t="shared" si="29"/>
        <v>-0.10526315789473684</v>
      </c>
      <c r="H728" t="s">
        <v>9</v>
      </c>
    </row>
    <row r="729" spans="1:8">
      <c r="A729">
        <v>2024</v>
      </c>
      <c r="B729">
        <v>8</v>
      </c>
      <c r="C729" t="s">
        <v>26</v>
      </c>
      <c r="D729">
        <f>VLOOKUP(C729,[5]FP!$C:$S,17,0)</f>
        <v>50</v>
      </c>
      <c r="E729">
        <f>VLOOKUP(C729,[5]FP!$C:$O,13,0)</f>
        <v>60</v>
      </c>
      <c r="F729">
        <f t="shared" si="30"/>
        <v>-10</v>
      </c>
      <c r="G729">
        <f t="shared" si="29"/>
        <v>-0.16666666666666666</v>
      </c>
      <c r="H729" t="s">
        <v>9</v>
      </c>
    </row>
    <row r="730" spans="1:8">
      <c r="A730">
        <v>2024</v>
      </c>
      <c r="B730">
        <v>8</v>
      </c>
      <c r="C730" t="s">
        <v>27</v>
      </c>
      <c r="D730">
        <f>VLOOKUP(C730,[5]FP!$C:$S,17,0)</f>
        <v>108</v>
      </c>
      <c r="E730">
        <f>VLOOKUP(C730,[5]FP!$C:$O,13,0)</f>
        <v>114</v>
      </c>
      <c r="F730">
        <f t="shared" si="30"/>
        <v>-6</v>
      </c>
      <c r="G730">
        <f t="shared" si="29"/>
        <v>-5.2631578947368418E-2</v>
      </c>
      <c r="H730" t="s">
        <v>9</v>
      </c>
    </row>
    <row r="731" spans="1:8">
      <c r="A731">
        <v>2024</v>
      </c>
      <c r="B731">
        <v>8</v>
      </c>
      <c r="C731" t="s">
        <v>28</v>
      </c>
      <c r="D731">
        <f>VLOOKUP(C731,[5]FP!$C:$S,17,0)</f>
        <v>35</v>
      </c>
      <c r="E731">
        <f>VLOOKUP(C731,[5]FP!$C:$O,13,0)</f>
        <v>38</v>
      </c>
      <c r="F731">
        <f t="shared" si="30"/>
        <v>-3</v>
      </c>
      <c r="G731">
        <f t="shared" si="29"/>
        <v>-7.8947368421052627E-2</v>
      </c>
      <c r="H731" t="s">
        <v>9</v>
      </c>
    </row>
    <row r="732" spans="1:8">
      <c r="A732">
        <v>2024</v>
      </c>
      <c r="B732">
        <v>8</v>
      </c>
      <c r="C732" t="s">
        <v>29</v>
      </c>
      <c r="D732">
        <f>VLOOKUP(C732,[5]FP!$C:$S,17,0)</f>
        <v>49</v>
      </c>
      <c r="E732">
        <f>VLOOKUP(C732,[5]FP!$C:$O,13,0)</f>
        <v>45</v>
      </c>
      <c r="F732">
        <f t="shared" si="30"/>
        <v>4</v>
      </c>
      <c r="G732">
        <f t="shared" si="29"/>
        <v>8.8888888888888892E-2</v>
      </c>
      <c r="H732" t="s">
        <v>9</v>
      </c>
    </row>
    <row r="733" spans="1:8">
      <c r="A733">
        <v>2024</v>
      </c>
      <c r="B733">
        <v>8</v>
      </c>
      <c r="C733" t="s">
        <v>30</v>
      </c>
      <c r="D733">
        <f>VLOOKUP(C733,[5]FP!$C:$S,17,0)</f>
        <v>74</v>
      </c>
      <c r="E733">
        <f>VLOOKUP(C733,[5]FP!$C:$O,13,0)</f>
        <v>83</v>
      </c>
      <c r="F733">
        <f t="shared" si="30"/>
        <v>-9</v>
      </c>
      <c r="G733">
        <f t="shared" si="29"/>
        <v>-0.10843373493975904</v>
      </c>
      <c r="H733" t="s">
        <v>9</v>
      </c>
    </row>
    <row r="734" spans="1:8">
      <c r="A734">
        <v>2024</v>
      </c>
      <c r="B734">
        <v>8</v>
      </c>
      <c r="C734" t="s">
        <v>31</v>
      </c>
      <c r="D734">
        <f>VLOOKUP(C734,[5]FP!$C:$S,17,0)</f>
        <v>44</v>
      </c>
      <c r="E734">
        <f>VLOOKUP(C734,[5]FP!$C:$O,13,0)</f>
        <v>57</v>
      </c>
      <c r="F734">
        <f t="shared" si="30"/>
        <v>-13</v>
      </c>
      <c r="G734">
        <f t="shared" si="29"/>
        <v>-0.22807017543859648</v>
      </c>
      <c r="H734" t="s">
        <v>9</v>
      </c>
    </row>
    <row r="735" spans="1:8">
      <c r="A735">
        <v>2024</v>
      </c>
      <c r="B735">
        <v>8</v>
      </c>
      <c r="C735" t="s">
        <v>32</v>
      </c>
      <c r="D735">
        <f>VLOOKUP(C735,[5]FP!$C:$S,17,0)</f>
        <v>71</v>
      </c>
      <c r="E735">
        <f>VLOOKUP(C735,[5]FP!$C:$O,13,0)</f>
        <v>62</v>
      </c>
      <c r="F735">
        <f t="shared" si="30"/>
        <v>9</v>
      </c>
      <c r="G735">
        <f t="shared" si="29"/>
        <v>0.14516129032258066</v>
      </c>
      <c r="H735" t="s">
        <v>9</v>
      </c>
    </row>
    <row r="736" spans="1:8">
      <c r="A736">
        <v>2024</v>
      </c>
      <c r="B736">
        <v>8</v>
      </c>
      <c r="C736" t="s">
        <v>33</v>
      </c>
      <c r="D736">
        <f>VLOOKUP(C736,[5]FP!$C:$S,17,0)</f>
        <v>34</v>
      </c>
      <c r="E736">
        <f>VLOOKUP(C736,[5]FP!$C:$O,13,0)</f>
        <v>32</v>
      </c>
      <c r="F736">
        <f t="shared" si="30"/>
        <v>2</v>
      </c>
      <c r="G736">
        <f t="shared" si="29"/>
        <v>6.25E-2</v>
      </c>
      <c r="H736" t="s">
        <v>9</v>
      </c>
    </row>
    <row r="737" spans="1:8">
      <c r="A737">
        <v>2024</v>
      </c>
      <c r="B737">
        <v>8</v>
      </c>
      <c r="C737" t="s">
        <v>35</v>
      </c>
      <c r="D737">
        <f>VLOOKUP(C737,[5]FP!$C:$S,17,0)</f>
        <v>30</v>
      </c>
      <c r="E737">
        <f>VLOOKUP(C737,[5]FP!$C:$O,13,0)</f>
        <v>29</v>
      </c>
      <c r="F737">
        <f t="shared" si="30"/>
        <v>1</v>
      </c>
      <c r="G737">
        <f t="shared" si="29"/>
        <v>3.4482758620689655E-2</v>
      </c>
      <c r="H737" t="s">
        <v>9</v>
      </c>
    </row>
    <row r="738" spans="1:8">
      <c r="A738">
        <v>2024</v>
      </c>
      <c r="B738">
        <v>8</v>
      </c>
      <c r="C738" t="s">
        <v>15</v>
      </c>
      <c r="D738">
        <v>65</v>
      </c>
      <c r="E738">
        <v>65</v>
      </c>
      <c r="F738">
        <f t="shared" si="30"/>
        <v>0</v>
      </c>
      <c r="G738">
        <f t="shared" si="29"/>
        <v>0</v>
      </c>
      <c r="H738" t="s">
        <v>34</v>
      </c>
    </row>
    <row r="739" spans="1:8">
      <c r="A739">
        <v>2024</v>
      </c>
      <c r="B739">
        <v>9</v>
      </c>
      <c r="C739" t="s">
        <v>8</v>
      </c>
      <c r="D739">
        <f>VLOOKUP(C739,[6]FP!$C:$T,18,0)</f>
        <v>13</v>
      </c>
      <c r="E739">
        <f>VLOOKUP(C739,[6]FP!$C:$T,14,0)</f>
        <v>14</v>
      </c>
      <c r="F739">
        <f t="shared" si="30"/>
        <v>-1</v>
      </c>
      <c r="G739">
        <f t="shared" si="29"/>
        <v>-7.1428571428571425E-2</v>
      </c>
      <c r="H739" t="s">
        <v>9</v>
      </c>
    </row>
    <row r="740" spans="1:8">
      <c r="A740">
        <v>2024</v>
      </c>
      <c r="B740">
        <v>9</v>
      </c>
      <c r="C740" t="s">
        <v>10</v>
      </c>
      <c r="D740">
        <f>VLOOKUP(C740,[6]FP!$C:$T,18,0)</f>
        <v>48</v>
      </c>
      <c r="E740">
        <f>VLOOKUP(C740,[6]FP!$C:$T,14,0)</f>
        <v>47</v>
      </c>
      <c r="F740">
        <f t="shared" si="30"/>
        <v>1</v>
      </c>
      <c r="G740">
        <f t="shared" si="29"/>
        <v>2.1276595744680851E-2</v>
      </c>
      <c r="H740" t="s">
        <v>9</v>
      </c>
    </row>
    <row r="741" spans="1:8">
      <c r="A741">
        <v>2024</v>
      </c>
      <c r="B741">
        <v>9</v>
      </c>
      <c r="C741" t="s">
        <v>11</v>
      </c>
      <c r="D741">
        <f>VLOOKUP(C741,[6]FP!$C:$T,18,0)</f>
        <v>49</v>
      </c>
      <c r="E741">
        <f>VLOOKUP(C741,[6]FP!$C:$T,14,0)</f>
        <v>47</v>
      </c>
      <c r="F741">
        <f t="shared" si="30"/>
        <v>2</v>
      </c>
      <c r="G741">
        <f t="shared" si="29"/>
        <v>4.2553191489361701E-2</v>
      </c>
      <c r="H741" t="s">
        <v>9</v>
      </c>
    </row>
    <row r="742" spans="1:8">
      <c r="A742">
        <v>2024</v>
      </c>
      <c r="B742">
        <v>9</v>
      </c>
      <c r="C742" t="s">
        <v>12</v>
      </c>
      <c r="D742">
        <f>VLOOKUP(C742,[6]FP!$C:$T,18,0)</f>
        <v>69</v>
      </c>
      <c r="E742">
        <f>VLOOKUP(C742,[6]FP!$C:$T,14,0)</f>
        <v>71</v>
      </c>
      <c r="F742">
        <f t="shared" si="30"/>
        <v>-2</v>
      </c>
      <c r="G742">
        <f t="shared" si="29"/>
        <v>-2.8169014084507043E-2</v>
      </c>
      <c r="H742" t="s">
        <v>9</v>
      </c>
    </row>
    <row r="743" spans="1:8">
      <c r="A743">
        <v>2024</v>
      </c>
      <c r="B743">
        <v>9</v>
      </c>
      <c r="C743" t="s">
        <v>13</v>
      </c>
      <c r="D743">
        <f>VLOOKUP(C743,[6]FP!$C:$T,18,0)</f>
        <v>19</v>
      </c>
      <c r="E743">
        <f>VLOOKUP(C743,[6]FP!$C:$T,14,0)</f>
        <v>16</v>
      </c>
      <c r="F743">
        <f t="shared" si="30"/>
        <v>3</v>
      </c>
      <c r="G743">
        <f t="shared" si="29"/>
        <v>0.1875</v>
      </c>
      <c r="H743" t="s">
        <v>9</v>
      </c>
    </row>
    <row r="744" spans="1:8">
      <c r="A744">
        <v>2024</v>
      </c>
      <c r="B744">
        <v>9</v>
      </c>
      <c r="C744" t="s">
        <v>14</v>
      </c>
      <c r="D744">
        <f>VLOOKUP(C744,[6]FP!$C:$T,18,0)</f>
        <v>251</v>
      </c>
      <c r="E744">
        <f>VLOOKUP(C744,[6]FP!$C:$T,14,0)</f>
        <v>257</v>
      </c>
      <c r="F744">
        <f t="shared" si="30"/>
        <v>-6</v>
      </c>
      <c r="G744">
        <f t="shared" si="29"/>
        <v>-2.3346303501945526E-2</v>
      </c>
      <c r="H744" t="s">
        <v>9</v>
      </c>
    </row>
    <row r="745" spans="1:8">
      <c r="A745">
        <v>2024</v>
      </c>
      <c r="B745">
        <v>9</v>
      </c>
      <c r="C745" t="s">
        <v>15</v>
      </c>
      <c r="D745" s="1">
        <v>164</v>
      </c>
      <c r="E745">
        <v>166</v>
      </c>
      <c r="F745">
        <f t="shared" si="30"/>
        <v>-2</v>
      </c>
      <c r="G745">
        <f t="shared" si="29"/>
        <v>-1.2048192771084338E-2</v>
      </c>
      <c r="H745" t="s">
        <v>9</v>
      </c>
    </row>
    <row r="746" spans="1:8">
      <c r="A746">
        <v>2024</v>
      </c>
      <c r="B746">
        <v>9</v>
      </c>
      <c r="C746" t="s">
        <v>16</v>
      </c>
      <c r="D746">
        <f>VLOOKUP(C746,[6]FP!$C:$T,18,0)</f>
        <v>39</v>
      </c>
      <c r="E746">
        <f>VLOOKUP(C746,[6]FP!$C:$T,14,0)</f>
        <v>37</v>
      </c>
      <c r="F746">
        <f t="shared" si="30"/>
        <v>2</v>
      </c>
      <c r="G746">
        <f t="shared" si="29"/>
        <v>5.4054054054054057E-2</v>
      </c>
      <c r="H746" t="s">
        <v>9</v>
      </c>
    </row>
    <row r="747" spans="1:8">
      <c r="A747">
        <v>2024</v>
      </c>
      <c r="B747">
        <v>9</v>
      </c>
      <c r="C747" t="s">
        <v>17</v>
      </c>
      <c r="D747">
        <f>VLOOKUP(C747,[6]FP!$C:$T,18,0)</f>
        <v>46</v>
      </c>
      <c r="E747">
        <f>VLOOKUP(C747,[6]FP!$C:$T,14,0)</f>
        <v>43</v>
      </c>
      <c r="F747">
        <f t="shared" si="30"/>
        <v>3</v>
      </c>
      <c r="G747">
        <f t="shared" si="29"/>
        <v>6.9767441860465115E-2</v>
      </c>
      <c r="H747" t="s">
        <v>9</v>
      </c>
    </row>
    <row r="748" spans="1:8">
      <c r="A748">
        <v>2024</v>
      </c>
      <c r="B748">
        <v>9</v>
      </c>
      <c r="C748" t="s">
        <v>18</v>
      </c>
      <c r="D748">
        <f>VLOOKUP(C748,[6]FP!$C:$T,18,0)</f>
        <v>59</v>
      </c>
      <c r="E748">
        <f>VLOOKUP(C748,[6]FP!$C:$T,14,0)</f>
        <v>58</v>
      </c>
      <c r="F748">
        <f t="shared" si="30"/>
        <v>1</v>
      </c>
      <c r="G748">
        <f t="shared" si="29"/>
        <v>1.7241379310344827E-2</v>
      </c>
      <c r="H748" t="s">
        <v>9</v>
      </c>
    </row>
    <row r="749" spans="1:8">
      <c r="A749">
        <v>2024</v>
      </c>
      <c r="B749">
        <v>9</v>
      </c>
      <c r="C749" t="s">
        <v>19</v>
      </c>
      <c r="D749">
        <f>VLOOKUP(C749,[6]FP!$C:$T,18,0)</f>
        <v>84</v>
      </c>
      <c r="E749">
        <f>VLOOKUP(C749,[6]FP!$C:$T,14,0)</f>
        <v>85</v>
      </c>
      <c r="F749">
        <f t="shared" si="30"/>
        <v>-1</v>
      </c>
      <c r="G749">
        <f t="shared" ref="G749:G812" si="31">F749/E749</f>
        <v>-1.1764705882352941E-2</v>
      </c>
      <c r="H749" t="s">
        <v>9</v>
      </c>
    </row>
    <row r="750" spans="1:8">
      <c r="A750">
        <v>2024</v>
      </c>
      <c r="B750">
        <v>9</v>
      </c>
      <c r="C750" t="s">
        <v>20</v>
      </c>
      <c r="D750">
        <f>VLOOKUP(C750,[6]FP!$C:$T,18,0)</f>
        <v>34</v>
      </c>
      <c r="E750">
        <f>VLOOKUP(C750,[6]FP!$C:$T,14,0)</f>
        <v>31</v>
      </c>
      <c r="F750">
        <f t="shared" si="30"/>
        <v>3</v>
      </c>
      <c r="G750">
        <f t="shared" si="31"/>
        <v>9.6774193548387094E-2</v>
      </c>
      <c r="H750" t="s">
        <v>9</v>
      </c>
    </row>
    <row r="751" spans="1:8">
      <c r="A751">
        <v>2024</v>
      </c>
      <c r="B751">
        <v>9</v>
      </c>
      <c r="C751" t="s">
        <v>21</v>
      </c>
      <c r="D751">
        <f>VLOOKUP(C751,[6]FP!$C:$T,18,0)</f>
        <v>115</v>
      </c>
      <c r="E751">
        <f>VLOOKUP(C751,[6]FP!$C:$T,14,0)</f>
        <v>114</v>
      </c>
      <c r="F751">
        <f t="shared" si="30"/>
        <v>1</v>
      </c>
      <c r="G751">
        <f t="shared" si="31"/>
        <v>8.771929824561403E-3</v>
      </c>
      <c r="H751" t="s">
        <v>9</v>
      </c>
    </row>
    <row r="752" spans="1:8">
      <c r="A752">
        <v>2024</v>
      </c>
      <c r="B752">
        <v>9</v>
      </c>
      <c r="C752" t="s">
        <v>22</v>
      </c>
      <c r="D752" s="1">
        <v>20</v>
      </c>
      <c r="E752">
        <f>VLOOKUP(C752,[6]FP!$C:$T,14,0)</f>
        <v>22</v>
      </c>
      <c r="F752">
        <f t="shared" si="30"/>
        <v>-2</v>
      </c>
      <c r="G752">
        <f t="shared" si="31"/>
        <v>-9.0909090909090912E-2</v>
      </c>
      <c r="H752" t="s">
        <v>9</v>
      </c>
    </row>
    <row r="753" spans="1:8">
      <c r="A753">
        <v>2024</v>
      </c>
      <c r="B753">
        <v>9</v>
      </c>
      <c r="C753" t="s">
        <v>23</v>
      </c>
      <c r="D753">
        <f>VLOOKUP(C753,[6]FP!$C:$T,18,0)</f>
        <v>37</v>
      </c>
      <c r="E753">
        <f>VLOOKUP(C753,[6]FP!$C:$T,14,0)</f>
        <v>35</v>
      </c>
      <c r="F753">
        <f t="shared" si="30"/>
        <v>2</v>
      </c>
      <c r="G753">
        <f t="shared" si="31"/>
        <v>5.7142857142857141E-2</v>
      </c>
      <c r="H753" t="s">
        <v>9</v>
      </c>
    </row>
    <row r="754" spans="1:8">
      <c r="A754">
        <v>2024</v>
      </c>
      <c r="B754">
        <v>9</v>
      </c>
      <c r="C754" t="s">
        <v>24</v>
      </c>
      <c r="D754">
        <f>VLOOKUP(C754,[6]FP!$C:$T,18,0)</f>
        <v>68</v>
      </c>
      <c r="E754">
        <f>VLOOKUP(C754,[6]FP!$C:$T,14,0)</f>
        <v>64</v>
      </c>
      <c r="F754">
        <f t="shared" si="30"/>
        <v>4</v>
      </c>
      <c r="G754">
        <f t="shared" si="31"/>
        <v>6.25E-2</v>
      </c>
      <c r="H754" t="s">
        <v>9</v>
      </c>
    </row>
    <row r="755" spans="1:8">
      <c r="A755">
        <v>2024</v>
      </c>
      <c r="B755">
        <v>9</v>
      </c>
      <c r="C755" t="s">
        <v>25</v>
      </c>
      <c r="D755">
        <f>VLOOKUP(C755,[6]FP!$C:$T,18,0)</f>
        <v>69</v>
      </c>
      <c r="E755">
        <f>VLOOKUP(C755,[6]FP!$C:$T,14,0)</f>
        <v>77</v>
      </c>
      <c r="F755">
        <f t="shared" si="30"/>
        <v>-8</v>
      </c>
      <c r="G755">
        <f t="shared" si="31"/>
        <v>-0.1038961038961039</v>
      </c>
      <c r="H755" t="s">
        <v>9</v>
      </c>
    </row>
    <row r="756" spans="1:8">
      <c r="A756">
        <v>2024</v>
      </c>
      <c r="B756">
        <v>9</v>
      </c>
      <c r="C756" t="s">
        <v>26</v>
      </c>
      <c r="D756">
        <f>VLOOKUP(C756,[6]FP!$C:$T,18,0)</f>
        <v>55</v>
      </c>
      <c r="E756">
        <f>VLOOKUP(C756,[6]FP!$C:$T,14,0)</f>
        <v>59</v>
      </c>
      <c r="F756">
        <f t="shared" si="30"/>
        <v>-4</v>
      </c>
      <c r="G756">
        <f t="shared" si="31"/>
        <v>-6.7796610169491525E-2</v>
      </c>
      <c r="H756" t="s">
        <v>9</v>
      </c>
    </row>
    <row r="757" spans="1:8">
      <c r="A757">
        <v>2024</v>
      </c>
      <c r="B757">
        <v>9</v>
      </c>
      <c r="C757" t="s">
        <v>27</v>
      </c>
      <c r="D757">
        <f>VLOOKUP(C757,[6]FP!$C:$T,18,0)</f>
        <v>108</v>
      </c>
      <c r="E757">
        <f>VLOOKUP(C757,[6]FP!$C:$T,14,0)</f>
        <v>109</v>
      </c>
      <c r="F757">
        <f t="shared" si="30"/>
        <v>-1</v>
      </c>
      <c r="G757">
        <f t="shared" si="31"/>
        <v>-9.1743119266055051E-3</v>
      </c>
      <c r="H757" t="s">
        <v>9</v>
      </c>
    </row>
    <row r="758" spans="1:8">
      <c r="A758">
        <v>2024</v>
      </c>
      <c r="B758">
        <v>9</v>
      </c>
      <c r="C758" t="s">
        <v>28</v>
      </c>
      <c r="D758">
        <f>VLOOKUP(C758,[6]FP!$C:$T,18,0)</f>
        <v>32</v>
      </c>
      <c r="E758">
        <f>VLOOKUP(C758,[6]FP!$C:$T,14,0)</f>
        <v>37</v>
      </c>
      <c r="F758">
        <f t="shared" si="30"/>
        <v>-5</v>
      </c>
      <c r="G758">
        <f t="shared" si="31"/>
        <v>-0.13513513513513514</v>
      </c>
      <c r="H758" t="s">
        <v>9</v>
      </c>
    </row>
    <row r="759" spans="1:8">
      <c r="A759">
        <v>2024</v>
      </c>
      <c r="B759">
        <v>9</v>
      </c>
      <c r="C759" t="s">
        <v>29</v>
      </c>
      <c r="D759">
        <f>VLOOKUP(C759,[6]FP!$C:$T,18,0)</f>
        <v>49</v>
      </c>
      <c r="E759">
        <f>VLOOKUP(C759,[6]FP!$C:$T,14,0)</f>
        <v>45</v>
      </c>
      <c r="F759">
        <f t="shared" si="30"/>
        <v>4</v>
      </c>
      <c r="G759">
        <f t="shared" si="31"/>
        <v>8.8888888888888892E-2</v>
      </c>
      <c r="H759" t="s">
        <v>9</v>
      </c>
    </row>
    <row r="760" spans="1:8">
      <c r="A760">
        <v>2024</v>
      </c>
      <c r="B760">
        <v>9</v>
      </c>
      <c r="C760" t="s">
        <v>30</v>
      </c>
      <c r="D760">
        <f>VLOOKUP(C760,[6]FP!$C:$T,18,0)</f>
        <v>77</v>
      </c>
      <c r="E760">
        <f>VLOOKUP(C760,[6]FP!$C:$T,14,0)</f>
        <v>81</v>
      </c>
      <c r="F760">
        <f t="shared" si="30"/>
        <v>-4</v>
      </c>
      <c r="G760">
        <f t="shared" si="31"/>
        <v>-4.9382716049382713E-2</v>
      </c>
      <c r="H760" t="s">
        <v>9</v>
      </c>
    </row>
    <row r="761" spans="1:8">
      <c r="A761">
        <v>2024</v>
      </c>
      <c r="B761">
        <v>9</v>
      </c>
      <c r="C761" t="s">
        <v>31</v>
      </c>
      <c r="D761">
        <f>VLOOKUP(C761,[6]FP!$C:$T,18,0)</f>
        <v>45</v>
      </c>
      <c r="E761">
        <f>VLOOKUP(C761,[6]FP!$C:$T,14,0)</f>
        <v>52</v>
      </c>
      <c r="F761">
        <f t="shared" si="30"/>
        <v>-7</v>
      </c>
      <c r="G761">
        <f t="shared" si="31"/>
        <v>-0.13461538461538461</v>
      </c>
      <c r="H761" t="s">
        <v>9</v>
      </c>
    </row>
    <row r="762" spans="1:8">
      <c r="A762">
        <v>2024</v>
      </c>
      <c r="B762">
        <v>9</v>
      </c>
      <c r="C762" t="s">
        <v>32</v>
      </c>
      <c r="D762">
        <f>VLOOKUP(C762,[6]FP!$C:$T,18,0)</f>
        <v>72</v>
      </c>
      <c r="E762">
        <f>VLOOKUP(C762,[6]FP!$C:$T,14,0)</f>
        <v>61</v>
      </c>
      <c r="F762">
        <f t="shared" si="30"/>
        <v>11</v>
      </c>
      <c r="G762">
        <f t="shared" si="31"/>
        <v>0.18032786885245902</v>
      </c>
      <c r="H762" t="s">
        <v>9</v>
      </c>
    </row>
    <row r="763" spans="1:8">
      <c r="A763">
        <v>2024</v>
      </c>
      <c r="B763">
        <v>9</v>
      </c>
      <c r="C763" t="s">
        <v>33</v>
      </c>
      <c r="D763">
        <f>VLOOKUP(C763,[6]FP!$C:$T,18,0)</f>
        <v>36</v>
      </c>
      <c r="E763">
        <f>VLOOKUP(C763,[6]FP!$C:$T,14,0)</f>
        <v>32</v>
      </c>
      <c r="F763">
        <f t="shared" si="30"/>
        <v>4</v>
      </c>
      <c r="G763">
        <f t="shared" si="31"/>
        <v>0.125</v>
      </c>
      <c r="H763" t="s">
        <v>9</v>
      </c>
    </row>
    <row r="764" spans="1:8">
      <c r="A764">
        <v>2024</v>
      </c>
      <c r="B764">
        <v>9</v>
      </c>
      <c r="C764" t="s">
        <v>35</v>
      </c>
      <c r="D764">
        <f>VLOOKUP(C764,[6]FP!$C:$T,18,0)</f>
        <v>31</v>
      </c>
      <c r="E764">
        <f>VLOOKUP(C764,[6]FP!$C:$T,14,0)</f>
        <v>30</v>
      </c>
      <c r="F764">
        <f t="shared" si="30"/>
        <v>1</v>
      </c>
      <c r="G764">
        <f t="shared" si="31"/>
        <v>3.3333333333333333E-2</v>
      </c>
      <c r="H764" t="s">
        <v>9</v>
      </c>
    </row>
    <row r="765" spans="1:8">
      <c r="A765">
        <v>2024</v>
      </c>
      <c r="B765">
        <v>9</v>
      </c>
      <c r="C765" t="s">
        <v>15</v>
      </c>
      <c r="D765">
        <v>66</v>
      </c>
      <c r="E765">
        <v>64</v>
      </c>
      <c r="F765">
        <f t="shared" si="30"/>
        <v>2</v>
      </c>
      <c r="G765">
        <f t="shared" si="31"/>
        <v>3.125E-2</v>
      </c>
      <c r="H765" t="s">
        <v>34</v>
      </c>
    </row>
    <row r="766" spans="1:8">
      <c r="A766">
        <v>2024</v>
      </c>
      <c r="B766">
        <v>10</v>
      </c>
      <c r="C766" t="s">
        <v>8</v>
      </c>
      <c r="D766">
        <f>VLOOKUP(C766,[6]FP!$C:$T,18,0)</f>
        <v>13</v>
      </c>
      <c r="E766">
        <f>VLOOKUP(C766,[6]FP!$C:$T,14,0)</f>
        <v>14</v>
      </c>
      <c r="F766">
        <f t="shared" ref="F766:F829" si="32">D766-E766</f>
        <v>-1</v>
      </c>
      <c r="G766">
        <f t="shared" si="31"/>
        <v>-7.1428571428571425E-2</v>
      </c>
      <c r="H766" t="s">
        <v>9</v>
      </c>
    </row>
    <row r="767" spans="1:8">
      <c r="A767">
        <v>2024</v>
      </c>
      <c r="B767">
        <v>10</v>
      </c>
      <c r="C767" t="s">
        <v>10</v>
      </c>
      <c r="D767">
        <f>VLOOKUP(C767,[6]FP!$C:$T,18,0)</f>
        <v>48</v>
      </c>
      <c r="E767">
        <f>VLOOKUP(C767,[6]FP!$C:$T,14,0)</f>
        <v>47</v>
      </c>
      <c r="F767">
        <f t="shared" si="32"/>
        <v>1</v>
      </c>
      <c r="G767">
        <f t="shared" si="31"/>
        <v>2.1276595744680851E-2</v>
      </c>
      <c r="H767" t="s">
        <v>9</v>
      </c>
    </row>
    <row r="768" spans="1:8">
      <c r="A768">
        <v>2024</v>
      </c>
      <c r="B768">
        <v>10</v>
      </c>
      <c r="C768" t="s">
        <v>11</v>
      </c>
      <c r="D768">
        <f>VLOOKUP(C768,[6]FP!$C:$T,18,0)</f>
        <v>49</v>
      </c>
      <c r="E768">
        <f>VLOOKUP(C768,[6]FP!$C:$T,14,0)</f>
        <v>47</v>
      </c>
      <c r="F768">
        <f t="shared" si="32"/>
        <v>2</v>
      </c>
      <c r="G768">
        <f t="shared" si="31"/>
        <v>4.2553191489361701E-2</v>
      </c>
      <c r="H768" t="s">
        <v>9</v>
      </c>
    </row>
    <row r="769" spans="1:8">
      <c r="A769">
        <v>2024</v>
      </c>
      <c r="B769">
        <v>10</v>
      </c>
      <c r="C769" t="s">
        <v>12</v>
      </c>
      <c r="D769">
        <f>VLOOKUP(C769,[6]FP!$C:$T,18,0)</f>
        <v>69</v>
      </c>
      <c r="E769">
        <f>VLOOKUP(C769,[6]FP!$C:$T,14,0)</f>
        <v>71</v>
      </c>
      <c r="F769">
        <f t="shared" si="32"/>
        <v>-2</v>
      </c>
      <c r="G769">
        <f t="shared" si="31"/>
        <v>-2.8169014084507043E-2</v>
      </c>
      <c r="H769" t="s">
        <v>9</v>
      </c>
    </row>
    <row r="770" spans="1:8">
      <c r="A770">
        <v>2024</v>
      </c>
      <c r="B770">
        <v>10</v>
      </c>
      <c r="C770" t="s">
        <v>13</v>
      </c>
      <c r="D770">
        <f>VLOOKUP(C770,[6]FP!$C:$T,18,0)</f>
        <v>19</v>
      </c>
      <c r="E770">
        <f>VLOOKUP(C770,[6]FP!$C:$T,14,0)</f>
        <v>16</v>
      </c>
      <c r="F770">
        <f t="shared" si="32"/>
        <v>3</v>
      </c>
      <c r="G770">
        <f t="shared" si="31"/>
        <v>0.1875</v>
      </c>
      <c r="H770" t="s">
        <v>9</v>
      </c>
    </row>
    <row r="771" spans="1:8">
      <c r="A771">
        <v>2024</v>
      </c>
      <c r="B771">
        <v>10</v>
      </c>
      <c r="C771" t="s">
        <v>14</v>
      </c>
      <c r="D771">
        <f>VLOOKUP(C771,[6]FP!$C:$T,18,0)</f>
        <v>251</v>
      </c>
      <c r="E771">
        <f>VLOOKUP(C771,[6]FP!$C:$T,14,0)</f>
        <v>257</v>
      </c>
      <c r="F771">
        <f t="shared" si="32"/>
        <v>-6</v>
      </c>
      <c r="G771">
        <f t="shared" si="31"/>
        <v>-2.3346303501945526E-2</v>
      </c>
      <c r="H771" t="s">
        <v>9</v>
      </c>
    </row>
    <row r="772" spans="1:8">
      <c r="A772">
        <v>2024</v>
      </c>
      <c r="B772">
        <v>10</v>
      </c>
      <c r="C772" t="s">
        <v>15</v>
      </c>
      <c r="D772" s="1">
        <v>164</v>
      </c>
      <c r="E772">
        <v>166</v>
      </c>
      <c r="F772">
        <f t="shared" si="32"/>
        <v>-2</v>
      </c>
      <c r="G772">
        <f t="shared" si="31"/>
        <v>-1.2048192771084338E-2</v>
      </c>
      <c r="H772" t="s">
        <v>9</v>
      </c>
    </row>
    <row r="773" spans="1:8">
      <c r="A773">
        <v>2024</v>
      </c>
      <c r="B773">
        <v>10</v>
      </c>
      <c r="C773" t="s">
        <v>16</v>
      </c>
      <c r="D773">
        <f>VLOOKUP(C773,[6]FP!$C:$T,18,0)</f>
        <v>39</v>
      </c>
      <c r="E773">
        <f>VLOOKUP(C773,[6]FP!$C:$T,14,0)</f>
        <v>37</v>
      </c>
      <c r="F773">
        <f t="shared" si="32"/>
        <v>2</v>
      </c>
      <c r="G773">
        <f t="shared" si="31"/>
        <v>5.4054054054054057E-2</v>
      </c>
      <c r="H773" t="s">
        <v>9</v>
      </c>
    </row>
    <row r="774" spans="1:8">
      <c r="A774">
        <v>2024</v>
      </c>
      <c r="B774">
        <v>10</v>
      </c>
      <c r="C774" t="s">
        <v>17</v>
      </c>
      <c r="D774">
        <f>VLOOKUP(C774,[6]FP!$C:$T,18,0)</f>
        <v>46</v>
      </c>
      <c r="E774">
        <f>VLOOKUP(C774,[6]FP!$C:$T,14,0)</f>
        <v>43</v>
      </c>
      <c r="F774">
        <f t="shared" si="32"/>
        <v>3</v>
      </c>
      <c r="G774">
        <f t="shared" si="31"/>
        <v>6.9767441860465115E-2</v>
      </c>
      <c r="H774" t="s">
        <v>9</v>
      </c>
    </row>
    <row r="775" spans="1:8">
      <c r="A775">
        <v>2024</v>
      </c>
      <c r="B775">
        <v>10</v>
      </c>
      <c r="C775" t="s">
        <v>18</v>
      </c>
      <c r="D775">
        <f>VLOOKUP(C775,[6]FP!$C:$T,18,0)</f>
        <v>59</v>
      </c>
      <c r="E775">
        <f>VLOOKUP(C775,[6]FP!$C:$T,14,0)</f>
        <v>58</v>
      </c>
      <c r="F775">
        <f t="shared" si="32"/>
        <v>1</v>
      </c>
      <c r="G775">
        <f t="shared" si="31"/>
        <v>1.7241379310344827E-2</v>
      </c>
      <c r="H775" t="s">
        <v>9</v>
      </c>
    </row>
    <row r="776" spans="1:8">
      <c r="A776">
        <v>2024</v>
      </c>
      <c r="B776">
        <v>10</v>
      </c>
      <c r="C776" t="s">
        <v>19</v>
      </c>
      <c r="D776">
        <f>VLOOKUP(C776,[6]FP!$C:$T,18,0)</f>
        <v>84</v>
      </c>
      <c r="E776">
        <f>VLOOKUP(C776,[6]FP!$C:$T,14,0)</f>
        <v>85</v>
      </c>
      <c r="F776">
        <f t="shared" si="32"/>
        <v>-1</v>
      </c>
      <c r="G776">
        <f t="shared" si="31"/>
        <v>-1.1764705882352941E-2</v>
      </c>
      <c r="H776" t="s">
        <v>9</v>
      </c>
    </row>
    <row r="777" spans="1:8">
      <c r="A777">
        <v>2024</v>
      </c>
      <c r="B777">
        <v>10</v>
      </c>
      <c r="C777" t="s">
        <v>20</v>
      </c>
      <c r="D777">
        <f>VLOOKUP(C777,[6]FP!$C:$T,18,0)</f>
        <v>34</v>
      </c>
      <c r="E777">
        <f>VLOOKUP(C777,[6]FP!$C:$T,14,0)</f>
        <v>31</v>
      </c>
      <c r="F777">
        <f t="shared" si="32"/>
        <v>3</v>
      </c>
      <c r="G777">
        <f t="shared" si="31"/>
        <v>9.6774193548387094E-2</v>
      </c>
      <c r="H777" t="s">
        <v>9</v>
      </c>
    </row>
    <row r="778" spans="1:8">
      <c r="A778">
        <v>2024</v>
      </c>
      <c r="B778">
        <v>10</v>
      </c>
      <c r="C778" t="s">
        <v>21</v>
      </c>
      <c r="D778">
        <f>VLOOKUP(C778,[6]FP!$C:$T,18,0)</f>
        <v>115</v>
      </c>
      <c r="E778">
        <f>VLOOKUP(C778,[6]FP!$C:$T,14,0)</f>
        <v>114</v>
      </c>
      <c r="F778">
        <f t="shared" si="32"/>
        <v>1</v>
      </c>
      <c r="G778">
        <f t="shared" si="31"/>
        <v>8.771929824561403E-3</v>
      </c>
      <c r="H778" t="s">
        <v>9</v>
      </c>
    </row>
    <row r="779" spans="1:8">
      <c r="A779">
        <v>2024</v>
      </c>
      <c r="B779">
        <v>10</v>
      </c>
      <c r="C779" t="s">
        <v>22</v>
      </c>
      <c r="D779" s="1">
        <v>20</v>
      </c>
      <c r="E779">
        <f>VLOOKUP(C779,[6]FP!$C:$T,14,0)</f>
        <v>22</v>
      </c>
      <c r="F779">
        <f t="shared" si="32"/>
        <v>-2</v>
      </c>
      <c r="G779">
        <f t="shared" si="31"/>
        <v>-9.0909090909090912E-2</v>
      </c>
      <c r="H779" t="s">
        <v>9</v>
      </c>
    </row>
    <row r="780" spans="1:8">
      <c r="A780">
        <v>2024</v>
      </c>
      <c r="B780">
        <v>10</v>
      </c>
      <c r="C780" t="s">
        <v>23</v>
      </c>
      <c r="D780">
        <f>VLOOKUP(C780,[6]FP!$C:$T,18,0)</f>
        <v>37</v>
      </c>
      <c r="E780">
        <f>VLOOKUP(C780,[6]FP!$C:$T,14,0)</f>
        <v>35</v>
      </c>
      <c r="F780">
        <f t="shared" si="32"/>
        <v>2</v>
      </c>
      <c r="G780">
        <f t="shared" si="31"/>
        <v>5.7142857142857141E-2</v>
      </c>
      <c r="H780" t="s">
        <v>9</v>
      </c>
    </row>
    <row r="781" spans="1:8">
      <c r="A781">
        <v>2024</v>
      </c>
      <c r="B781">
        <v>10</v>
      </c>
      <c r="C781" t="s">
        <v>24</v>
      </c>
      <c r="D781">
        <f>VLOOKUP(C781,[6]FP!$C:$T,18,0)</f>
        <v>68</v>
      </c>
      <c r="E781">
        <f>VLOOKUP(C781,[6]FP!$C:$T,14,0)</f>
        <v>64</v>
      </c>
      <c r="F781">
        <f t="shared" si="32"/>
        <v>4</v>
      </c>
      <c r="G781">
        <f t="shared" si="31"/>
        <v>6.25E-2</v>
      </c>
      <c r="H781" t="s">
        <v>9</v>
      </c>
    </row>
    <row r="782" spans="1:8">
      <c r="A782">
        <v>2024</v>
      </c>
      <c r="B782">
        <v>10</v>
      </c>
      <c r="C782" t="s">
        <v>25</v>
      </c>
      <c r="D782">
        <f>VLOOKUP(C782,[6]FP!$C:$T,18,0)</f>
        <v>69</v>
      </c>
      <c r="E782">
        <f>VLOOKUP(C782,[6]FP!$C:$T,14,0)</f>
        <v>77</v>
      </c>
      <c r="F782">
        <f t="shared" si="32"/>
        <v>-8</v>
      </c>
      <c r="G782">
        <f t="shared" si="31"/>
        <v>-0.1038961038961039</v>
      </c>
      <c r="H782" t="s">
        <v>9</v>
      </c>
    </row>
    <row r="783" spans="1:8">
      <c r="A783">
        <v>2024</v>
      </c>
      <c r="B783">
        <v>10</v>
      </c>
      <c r="C783" t="s">
        <v>26</v>
      </c>
      <c r="D783">
        <f>VLOOKUP(C783,[6]FP!$C:$T,18,0)</f>
        <v>55</v>
      </c>
      <c r="E783">
        <f>VLOOKUP(C783,[6]FP!$C:$T,14,0)</f>
        <v>59</v>
      </c>
      <c r="F783">
        <f t="shared" si="32"/>
        <v>-4</v>
      </c>
      <c r="G783">
        <f t="shared" si="31"/>
        <v>-6.7796610169491525E-2</v>
      </c>
      <c r="H783" t="s">
        <v>9</v>
      </c>
    </row>
    <row r="784" spans="1:8">
      <c r="A784">
        <v>2024</v>
      </c>
      <c r="B784">
        <v>10</v>
      </c>
      <c r="C784" t="s">
        <v>27</v>
      </c>
      <c r="D784">
        <f>VLOOKUP(C784,[6]FP!$C:$T,18,0)</f>
        <v>108</v>
      </c>
      <c r="E784">
        <f>VLOOKUP(C784,[6]FP!$C:$T,14,0)</f>
        <v>109</v>
      </c>
      <c r="F784">
        <f t="shared" si="32"/>
        <v>-1</v>
      </c>
      <c r="G784">
        <f t="shared" si="31"/>
        <v>-9.1743119266055051E-3</v>
      </c>
      <c r="H784" t="s">
        <v>9</v>
      </c>
    </row>
    <row r="785" spans="1:8">
      <c r="A785">
        <v>2024</v>
      </c>
      <c r="B785">
        <v>10</v>
      </c>
      <c r="C785" t="s">
        <v>28</v>
      </c>
      <c r="D785">
        <f>VLOOKUP(C785,[6]FP!$C:$T,18,0)</f>
        <v>32</v>
      </c>
      <c r="E785">
        <f>VLOOKUP(C785,[6]FP!$C:$T,14,0)</f>
        <v>37</v>
      </c>
      <c r="F785">
        <f t="shared" si="32"/>
        <v>-5</v>
      </c>
      <c r="G785">
        <f t="shared" si="31"/>
        <v>-0.13513513513513514</v>
      </c>
      <c r="H785" t="s">
        <v>9</v>
      </c>
    </row>
    <row r="786" spans="1:8">
      <c r="A786">
        <v>2024</v>
      </c>
      <c r="B786">
        <v>10</v>
      </c>
      <c r="C786" t="s">
        <v>29</v>
      </c>
      <c r="D786">
        <f>VLOOKUP(C786,[6]FP!$C:$T,18,0)</f>
        <v>49</v>
      </c>
      <c r="E786">
        <f>VLOOKUP(C786,[6]FP!$C:$T,14,0)</f>
        <v>45</v>
      </c>
      <c r="F786">
        <f t="shared" si="32"/>
        <v>4</v>
      </c>
      <c r="G786">
        <f t="shared" si="31"/>
        <v>8.8888888888888892E-2</v>
      </c>
      <c r="H786" t="s">
        <v>9</v>
      </c>
    </row>
    <row r="787" spans="1:8">
      <c r="A787">
        <v>2024</v>
      </c>
      <c r="B787">
        <v>10</v>
      </c>
      <c r="C787" t="s">
        <v>30</v>
      </c>
      <c r="D787">
        <f>VLOOKUP(C787,[6]FP!$C:$T,18,0)</f>
        <v>77</v>
      </c>
      <c r="E787">
        <f>VLOOKUP(C787,[6]FP!$C:$T,14,0)</f>
        <v>81</v>
      </c>
      <c r="F787">
        <f t="shared" si="32"/>
        <v>-4</v>
      </c>
      <c r="G787">
        <f t="shared" si="31"/>
        <v>-4.9382716049382713E-2</v>
      </c>
      <c r="H787" t="s">
        <v>9</v>
      </c>
    </row>
    <row r="788" spans="1:8">
      <c r="A788">
        <v>2024</v>
      </c>
      <c r="B788">
        <v>10</v>
      </c>
      <c r="C788" t="s">
        <v>31</v>
      </c>
      <c r="D788">
        <f>VLOOKUP(C788,[6]FP!$C:$T,18,0)</f>
        <v>45</v>
      </c>
      <c r="E788">
        <f>VLOOKUP(C788,[6]FP!$C:$T,14,0)</f>
        <v>52</v>
      </c>
      <c r="F788">
        <f t="shared" si="32"/>
        <v>-7</v>
      </c>
      <c r="G788">
        <f t="shared" si="31"/>
        <v>-0.13461538461538461</v>
      </c>
      <c r="H788" t="s">
        <v>9</v>
      </c>
    </row>
    <row r="789" spans="1:8">
      <c r="A789">
        <v>2024</v>
      </c>
      <c r="B789">
        <v>10</v>
      </c>
      <c r="C789" t="s">
        <v>32</v>
      </c>
      <c r="D789">
        <f>VLOOKUP(C789,[6]FP!$C:$T,18,0)</f>
        <v>72</v>
      </c>
      <c r="E789">
        <f>VLOOKUP(C789,[6]FP!$C:$T,14,0)</f>
        <v>61</v>
      </c>
      <c r="F789">
        <f t="shared" si="32"/>
        <v>11</v>
      </c>
      <c r="G789">
        <f t="shared" si="31"/>
        <v>0.18032786885245902</v>
      </c>
      <c r="H789" t="s">
        <v>9</v>
      </c>
    </row>
    <row r="790" spans="1:8">
      <c r="A790">
        <v>2024</v>
      </c>
      <c r="B790">
        <v>10</v>
      </c>
      <c r="C790" t="s">
        <v>33</v>
      </c>
      <c r="D790">
        <f>VLOOKUP(C790,[6]FP!$C:$T,18,0)</f>
        <v>36</v>
      </c>
      <c r="E790">
        <f>VLOOKUP(C790,[6]FP!$C:$T,14,0)</f>
        <v>32</v>
      </c>
      <c r="F790">
        <f t="shared" si="32"/>
        <v>4</v>
      </c>
      <c r="G790">
        <f t="shared" si="31"/>
        <v>0.125</v>
      </c>
      <c r="H790" t="s">
        <v>9</v>
      </c>
    </row>
    <row r="791" spans="1:8">
      <c r="A791">
        <v>2024</v>
      </c>
      <c r="B791">
        <v>10</v>
      </c>
      <c r="C791" t="s">
        <v>35</v>
      </c>
      <c r="D791">
        <f>VLOOKUP(C791,[6]FP!$C:$T,18,0)</f>
        <v>31</v>
      </c>
      <c r="E791">
        <f>VLOOKUP(C791,[6]FP!$C:$T,14,0)</f>
        <v>30</v>
      </c>
      <c r="F791">
        <f t="shared" si="32"/>
        <v>1</v>
      </c>
      <c r="G791">
        <f t="shared" si="31"/>
        <v>3.3333333333333333E-2</v>
      </c>
      <c r="H791" t="s">
        <v>9</v>
      </c>
    </row>
    <row r="792" spans="1:8">
      <c r="A792">
        <v>2024</v>
      </c>
      <c r="B792">
        <v>10</v>
      </c>
      <c r="C792" t="s">
        <v>15</v>
      </c>
      <c r="D792">
        <v>66</v>
      </c>
      <c r="E792">
        <v>64</v>
      </c>
      <c r="F792">
        <f t="shared" si="32"/>
        <v>2</v>
      </c>
      <c r="G792">
        <f t="shared" si="31"/>
        <v>3.125E-2</v>
      </c>
      <c r="H792" t="s">
        <v>34</v>
      </c>
    </row>
    <row r="793" spans="1:8">
      <c r="A793">
        <v>2024</v>
      </c>
      <c r="B793">
        <v>11</v>
      </c>
      <c r="C793" t="s">
        <v>8</v>
      </c>
      <c r="D793">
        <f>VLOOKUP(C793,[6]FP!$C:$T,18,0)</f>
        <v>13</v>
      </c>
      <c r="E793">
        <f>VLOOKUP(C793,[6]FP!$C:$T,14,0)</f>
        <v>14</v>
      </c>
      <c r="F793">
        <f t="shared" si="32"/>
        <v>-1</v>
      </c>
      <c r="G793">
        <f t="shared" si="31"/>
        <v>-7.1428571428571425E-2</v>
      </c>
      <c r="H793" t="s">
        <v>9</v>
      </c>
    </row>
    <row r="794" spans="1:8">
      <c r="A794">
        <v>2024</v>
      </c>
      <c r="B794">
        <v>11</v>
      </c>
      <c r="C794" t="s">
        <v>10</v>
      </c>
      <c r="D794">
        <f>VLOOKUP(C794,[6]FP!$C:$T,18,0)</f>
        <v>48</v>
      </c>
      <c r="E794">
        <f>VLOOKUP(C794,[6]FP!$C:$T,14,0)</f>
        <v>47</v>
      </c>
      <c r="F794">
        <f t="shared" si="32"/>
        <v>1</v>
      </c>
      <c r="G794">
        <f t="shared" si="31"/>
        <v>2.1276595744680851E-2</v>
      </c>
      <c r="H794" t="s">
        <v>9</v>
      </c>
    </row>
    <row r="795" spans="1:8">
      <c r="A795">
        <v>2024</v>
      </c>
      <c r="B795">
        <v>11</v>
      </c>
      <c r="C795" t="s">
        <v>11</v>
      </c>
      <c r="D795">
        <f>VLOOKUP(C795,[6]FP!$C:$T,18,0)</f>
        <v>49</v>
      </c>
      <c r="E795">
        <f>VLOOKUP(C795,[6]FP!$C:$T,14,0)</f>
        <v>47</v>
      </c>
      <c r="F795">
        <f t="shared" si="32"/>
        <v>2</v>
      </c>
      <c r="G795">
        <f t="shared" si="31"/>
        <v>4.2553191489361701E-2</v>
      </c>
      <c r="H795" t="s">
        <v>9</v>
      </c>
    </row>
    <row r="796" spans="1:8">
      <c r="A796">
        <v>2024</v>
      </c>
      <c r="B796">
        <v>11</v>
      </c>
      <c r="C796" t="s">
        <v>12</v>
      </c>
      <c r="D796">
        <f>VLOOKUP(C796,[6]FP!$C:$T,18,0)</f>
        <v>69</v>
      </c>
      <c r="E796">
        <f>VLOOKUP(C796,[6]FP!$C:$T,14,0)</f>
        <v>71</v>
      </c>
      <c r="F796">
        <f t="shared" si="32"/>
        <v>-2</v>
      </c>
      <c r="G796">
        <f t="shared" si="31"/>
        <v>-2.8169014084507043E-2</v>
      </c>
      <c r="H796" t="s">
        <v>9</v>
      </c>
    </row>
    <row r="797" spans="1:8">
      <c r="A797">
        <v>2024</v>
      </c>
      <c r="B797">
        <v>11</v>
      </c>
      <c r="C797" t="s">
        <v>13</v>
      </c>
      <c r="D797">
        <f>VLOOKUP(C797,[6]FP!$C:$T,18,0)</f>
        <v>19</v>
      </c>
      <c r="E797">
        <f>VLOOKUP(C797,[6]FP!$C:$T,14,0)</f>
        <v>16</v>
      </c>
      <c r="F797">
        <f t="shared" si="32"/>
        <v>3</v>
      </c>
      <c r="G797">
        <f t="shared" si="31"/>
        <v>0.1875</v>
      </c>
      <c r="H797" t="s">
        <v>9</v>
      </c>
    </row>
    <row r="798" spans="1:8">
      <c r="A798">
        <v>2024</v>
      </c>
      <c r="B798">
        <v>11</v>
      </c>
      <c r="C798" t="s">
        <v>14</v>
      </c>
      <c r="D798">
        <f>VLOOKUP(C798,[6]FP!$C:$T,18,0)</f>
        <v>251</v>
      </c>
      <c r="E798">
        <f>VLOOKUP(C798,[6]FP!$C:$T,14,0)</f>
        <v>257</v>
      </c>
      <c r="F798">
        <f t="shared" si="32"/>
        <v>-6</v>
      </c>
      <c r="G798">
        <f t="shared" si="31"/>
        <v>-2.3346303501945526E-2</v>
      </c>
      <c r="H798" t="s">
        <v>9</v>
      </c>
    </row>
    <row r="799" spans="1:8">
      <c r="A799">
        <v>2024</v>
      </c>
      <c r="B799">
        <v>11</v>
      </c>
      <c r="C799" t="s">
        <v>15</v>
      </c>
      <c r="D799" s="1">
        <v>164</v>
      </c>
      <c r="E799">
        <v>166</v>
      </c>
      <c r="F799">
        <f t="shared" si="32"/>
        <v>-2</v>
      </c>
      <c r="G799">
        <f t="shared" si="31"/>
        <v>-1.2048192771084338E-2</v>
      </c>
      <c r="H799" t="s">
        <v>9</v>
      </c>
    </row>
    <row r="800" spans="1:8">
      <c r="A800">
        <v>2024</v>
      </c>
      <c r="B800">
        <v>11</v>
      </c>
      <c r="C800" t="s">
        <v>16</v>
      </c>
      <c r="D800">
        <f>VLOOKUP(C800,[6]FP!$C:$T,18,0)</f>
        <v>39</v>
      </c>
      <c r="E800">
        <f>VLOOKUP(C800,[6]FP!$C:$T,14,0)</f>
        <v>37</v>
      </c>
      <c r="F800">
        <f t="shared" si="32"/>
        <v>2</v>
      </c>
      <c r="G800">
        <f t="shared" si="31"/>
        <v>5.4054054054054057E-2</v>
      </c>
      <c r="H800" t="s">
        <v>9</v>
      </c>
    </row>
    <row r="801" spans="1:8">
      <c r="A801">
        <v>2024</v>
      </c>
      <c r="B801">
        <v>11</v>
      </c>
      <c r="C801" t="s">
        <v>17</v>
      </c>
      <c r="D801">
        <f>VLOOKUP(C801,[6]FP!$C:$T,18,0)</f>
        <v>46</v>
      </c>
      <c r="E801">
        <f>VLOOKUP(C801,[6]FP!$C:$T,14,0)</f>
        <v>43</v>
      </c>
      <c r="F801">
        <f t="shared" si="32"/>
        <v>3</v>
      </c>
      <c r="G801">
        <f t="shared" si="31"/>
        <v>6.9767441860465115E-2</v>
      </c>
      <c r="H801" t="s">
        <v>9</v>
      </c>
    </row>
    <row r="802" spans="1:8">
      <c r="A802">
        <v>2024</v>
      </c>
      <c r="B802">
        <v>11</v>
      </c>
      <c r="C802" t="s">
        <v>18</v>
      </c>
      <c r="D802">
        <f>VLOOKUP(C802,[6]FP!$C:$T,18,0)</f>
        <v>59</v>
      </c>
      <c r="E802">
        <f>VLOOKUP(C802,[6]FP!$C:$T,14,0)</f>
        <v>58</v>
      </c>
      <c r="F802">
        <f t="shared" si="32"/>
        <v>1</v>
      </c>
      <c r="G802">
        <f t="shared" si="31"/>
        <v>1.7241379310344827E-2</v>
      </c>
      <c r="H802" t="s">
        <v>9</v>
      </c>
    </row>
    <row r="803" spans="1:8">
      <c r="A803">
        <v>2024</v>
      </c>
      <c r="B803">
        <v>11</v>
      </c>
      <c r="C803" t="s">
        <v>19</v>
      </c>
      <c r="D803">
        <f>VLOOKUP(C803,[6]FP!$C:$T,18,0)</f>
        <v>84</v>
      </c>
      <c r="E803">
        <f>VLOOKUP(C803,[6]FP!$C:$T,14,0)</f>
        <v>85</v>
      </c>
      <c r="F803">
        <f t="shared" si="32"/>
        <v>-1</v>
      </c>
      <c r="G803">
        <f t="shared" si="31"/>
        <v>-1.1764705882352941E-2</v>
      </c>
      <c r="H803" t="s">
        <v>9</v>
      </c>
    </row>
    <row r="804" spans="1:8">
      <c r="A804">
        <v>2024</v>
      </c>
      <c r="B804">
        <v>11</v>
      </c>
      <c r="C804" t="s">
        <v>20</v>
      </c>
      <c r="D804">
        <f>VLOOKUP(C804,[6]FP!$C:$T,18,0)</f>
        <v>34</v>
      </c>
      <c r="E804">
        <f>VLOOKUP(C804,[6]FP!$C:$T,14,0)</f>
        <v>31</v>
      </c>
      <c r="F804">
        <f t="shared" si="32"/>
        <v>3</v>
      </c>
      <c r="G804">
        <f t="shared" si="31"/>
        <v>9.6774193548387094E-2</v>
      </c>
      <c r="H804" t="s">
        <v>9</v>
      </c>
    </row>
    <row r="805" spans="1:8">
      <c r="A805">
        <v>2024</v>
      </c>
      <c r="B805">
        <v>11</v>
      </c>
      <c r="C805" t="s">
        <v>21</v>
      </c>
      <c r="D805">
        <f>VLOOKUP(C805,[6]FP!$C:$T,18,0)</f>
        <v>115</v>
      </c>
      <c r="E805">
        <f>VLOOKUP(C805,[6]FP!$C:$T,14,0)</f>
        <v>114</v>
      </c>
      <c r="F805">
        <f t="shared" si="32"/>
        <v>1</v>
      </c>
      <c r="G805">
        <f t="shared" si="31"/>
        <v>8.771929824561403E-3</v>
      </c>
      <c r="H805" t="s">
        <v>9</v>
      </c>
    </row>
    <row r="806" spans="1:8">
      <c r="A806">
        <v>2024</v>
      </c>
      <c r="B806">
        <v>11</v>
      </c>
      <c r="C806" t="s">
        <v>22</v>
      </c>
      <c r="D806" s="1">
        <v>20</v>
      </c>
      <c r="E806">
        <f>VLOOKUP(C806,[6]FP!$C:$T,14,0)</f>
        <v>22</v>
      </c>
      <c r="F806">
        <f t="shared" si="32"/>
        <v>-2</v>
      </c>
      <c r="G806">
        <f t="shared" si="31"/>
        <v>-9.0909090909090912E-2</v>
      </c>
      <c r="H806" t="s">
        <v>9</v>
      </c>
    </row>
    <row r="807" spans="1:8">
      <c r="A807">
        <v>2024</v>
      </c>
      <c r="B807">
        <v>11</v>
      </c>
      <c r="C807" t="s">
        <v>23</v>
      </c>
      <c r="D807">
        <f>VLOOKUP(C807,[6]FP!$C:$T,18,0)</f>
        <v>37</v>
      </c>
      <c r="E807">
        <f>VLOOKUP(C807,[6]FP!$C:$T,14,0)</f>
        <v>35</v>
      </c>
      <c r="F807">
        <f t="shared" si="32"/>
        <v>2</v>
      </c>
      <c r="G807">
        <f t="shared" si="31"/>
        <v>5.7142857142857141E-2</v>
      </c>
      <c r="H807" t="s">
        <v>9</v>
      </c>
    </row>
    <row r="808" spans="1:8">
      <c r="A808">
        <v>2024</v>
      </c>
      <c r="B808">
        <v>11</v>
      </c>
      <c r="C808" t="s">
        <v>24</v>
      </c>
      <c r="D808">
        <f>VLOOKUP(C808,[6]FP!$C:$T,18,0)</f>
        <v>68</v>
      </c>
      <c r="E808">
        <f>VLOOKUP(C808,[6]FP!$C:$T,14,0)</f>
        <v>64</v>
      </c>
      <c r="F808">
        <f t="shared" si="32"/>
        <v>4</v>
      </c>
      <c r="G808">
        <f t="shared" si="31"/>
        <v>6.25E-2</v>
      </c>
      <c r="H808" t="s">
        <v>9</v>
      </c>
    </row>
    <row r="809" spans="1:8">
      <c r="A809">
        <v>2024</v>
      </c>
      <c r="B809">
        <v>11</v>
      </c>
      <c r="C809" t="s">
        <v>25</v>
      </c>
      <c r="D809">
        <f>VLOOKUP(C809,[6]FP!$C:$T,18,0)</f>
        <v>69</v>
      </c>
      <c r="E809">
        <f>VLOOKUP(C809,[6]FP!$C:$T,14,0)</f>
        <v>77</v>
      </c>
      <c r="F809">
        <f t="shared" si="32"/>
        <v>-8</v>
      </c>
      <c r="G809">
        <f t="shared" si="31"/>
        <v>-0.1038961038961039</v>
      </c>
      <c r="H809" t="s">
        <v>9</v>
      </c>
    </row>
    <row r="810" spans="1:8">
      <c r="A810">
        <v>2024</v>
      </c>
      <c r="B810">
        <v>11</v>
      </c>
      <c r="C810" t="s">
        <v>26</v>
      </c>
      <c r="D810">
        <f>VLOOKUP(C810,[6]FP!$C:$T,18,0)</f>
        <v>55</v>
      </c>
      <c r="E810">
        <f>VLOOKUP(C810,[6]FP!$C:$T,14,0)</f>
        <v>59</v>
      </c>
      <c r="F810">
        <f t="shared" si="32"/>
        <v>-4</v>
      </c>
      <c r="G810">
        <f t="shared" si="31"/>
        <v>-6.7796610169491525E-2</v>
      </c>
      <c r="H810" t="s">
        <v>9</v>
      </c>
    </row>
    <row r="811" spans="1:8">
      <c r="A811">
        <v>2024</v>
      </c>
      <c r="B811">
        <v>11</v>
      </c>
      <c r="C811" t="s">
        <v>27</v>
      </c>
      <c r="D811">
        <f>VLOOKUP(C811,[6]FP!$C:$T,18,0)</f>
        <v>108</v>
      </c>
      <c r="E811">
        <f>VLOOKUP(C811,[6]FP!$C:$T,14,0)</f>
        <v>109</v>
      </c>
      <c r="F811">
        <f t="shared" si="32"/>
        <v>-1</v>
      </c>
      <c r="G811">
        <f t="shared" si="31"/>
        <v>-9.1743119266055051E-3</v>
      </c>
      <c r="H811" t="s">
        <v>9</v>
      </c>
    </row>
    <row r="812" spans="1:8">
      <c r="A812">
        <v>2024</v>
      </c>
      <c r="B812">
        <v>11</v>
      </c>
      <c r="C812" t="s">
        <v>28</v>
      </c>
      <c r="D812">
        <f>VLOOKUP(C812,[6]FP!$C:$T,18,0)</f>
        <v>32</v>
      </c>
      <c r="E812">
        <f>VLOOKUP(C812,[6]FP!$C:$T,14,0)</f>
        <v>37</v>
      </c>
      <c r="F812">
        <f t="shared" si="32"/>
        <v>-5</v>
      </c>
      <c r="G812">
        <f t="shared" si="31"/>
        <v>-0.13513513513513514</v>
      </c>
      <c r="H812" t="s">
        <v>9</v>
      </c>
    </row>
    <row r="813" spans="1:8">
      <c r="A813">
        <v>2024</v>
      </c>
      <c r="B813">
        <v>11</v>
      </c>
      <c r="C813" t="s">
        <v>29</v>
      </c>
      <c r="D813">
        <f>VLOOKUP(C813,[6]FP!$C:$T,18,0)</f>
        <v>49</v>
      </c>
      <c r="E813">
        <f>VLOOKUP(C813,[6]FP!$C:$T,14,0)</f>
        <v>45</v>
      </c>
      <c r="F813">
        <f t="shared" si="32"/>
        <v>4</v>
      </c>
      <c r="G813">
        <f t="shared" ref="G813:G846" si="33">F813/E813</f>
        <v>8.8888888888888892E-2</v>
      </c>
      <c r="H813" t="s">
        <v>9</v>
      </c>
    </row>
    <row r="814" spans="1:8">
      <c r="A814">
        <v>2024</v>
      </c>
      <c r="B814">
        <v>11</v>
      </c>
      <c r="C814" t="s">
        <v>30</v>
      </c>
      <c r="D814">
        <f>VLOOKUP(C814,[6]FP!$C:$T,18,0)</f>
        <v>77</v>
      </c>
      <c r="E814">
        <f>VLOOKUP(C814,[6]FP!$C:$T,14,0)</f>
        <v>81</v>
      </c>
      <c r="F814">
        <f t="shared" si="32"/>
        <v>-4</v>
      </c>
      <c r="G814">
        <f t="shared" si="33"/>
        <v>-4.9382716049382713E-2</v>
      </c>
      <c r="H814" t="s">
        <v>9</v>
      </c>
    </row>
    <row r="815" spans="1:8">
      <c r="A815">
        <v>2024</v>
      </c>
      <c r="B815">
        <v>11</v>
      </c>
      <c r="C815" t="s">
        <v>31</v>
      </c>
      <c r="D815">
        <f>VLOOKUP(C815,[6]FP!$C:$T,18,0)</f>
        <v>45</v>
      </c>
      <c r="E815">
        <f>VLOOKUP(C815,[6]FP!$C:$T,14,0)</f>
        <v>52</v>
      </c>
      <c r="F815">
        <f t="shared" si="32"/>
        <v>-7</v>
      </c>
      <c r="G815">
        <f t="shared" si="33"/>
        <v>-0.13461538461538461</v>
      </c>
      <c r="H815" t="s">
        <v>9</v>
      </c>
    </row>
    <row r="816" spans="1:8">
      <c r="A816">
        <v>2024</v>
      </c>
      <c r="B816">
        <v>11</v>
      </c>
      <c r="C816" t="s">
        <v>32</v>
      </c>
      <c r="D816">
        <f>VLOOKUP(C816,[6]FP!$C:$T,18,0)</f>
        <v>72</v>
      </c>
      <c r="E816">
        <f>VLOOKUP(C816,[6]FP!$C:$T,14,0)</f>
        <v>61</v>
      </c>
      <c r="F816">
        <f t="shared" si="32"/>
        <v>11</v>
      </c>
      <c r="G816">
        <f t="shared" si="33"/>
        <v>0.18032786885245902</v>
      </c>
      <c r="H816" t="s">
        <v>9</v>
      </c>
    </row>
    <row r="817" spans="1:8">
      <c r="A817">
        <v>2024</v>
      </c>
      <c r="B817">
        <v>11</v>
      </c>
      <c r="C817" t="s">
        <v>33</v>
      </c>
      <c r="D817">
        <f>VLOOKUP(C817,[6]FP!$C:$T,18,0)</f>
        <v>36</v>
      </c>
      <c r="E817">
        <f>VLOOKUP(C817,[6]FP!$C:$T,14,0)</f>
        <v>32</v>
      </c>
      <c r="F817">
        <f t="shared" si="32"/>
        <v>4</v>
      </c>
      <c r="G817">
        <f t="shared" si="33"/>
        <v>0.125</v>
      </c>
      <c r="H817" t="s">
        <v>9</v>
      </c>
    </row>
    <row r="818" spans="1:8">
      <c r="A818">
        <v>2024</v>
      </c>
      <c r="B818">
        <v>11</v>
      </c>
      <c r="C818" t="s">
        <v>35</v>
      </c>
      <c r="D818">
        <f>VLOOKUP(C818,[6]FP!$C:$T,18,0)</f>
        <v>31</v>
      </c>
      <c r="E818">
        <f>VLOOKUP(C818,[6]FP!$C:$T,14,0)</f>
        <v>30</v>
      </c>
      <c r="F818">
        <f t="shared" si="32"/>
        <v>1</v>
      </c>
      <c r="G818">
        <f t="shared" si="33"/>
        <v>3.3333333333333333E-2</v>
      </c>
      <c r="H818" t="s">
        <v>9</v>
      </c>
    </row>
    <row r="819" spans="1:8">
      <c r="A819">
        <v>2024</v>
      </c>
      <c r="B819">
        <v>11</v>
      </c>
      <c r="C819" t="s">
        <v>15</v>
      </c>
      <c r="D819">
        <v>66</v>
      </c>
      <c r="E819">
        <v>64</v>
      </c>
      <c r="F819">
        <f t="shared" si="32"/>
        <v>2</v>
      </c>
      <c r="G819">
        <f t="shared" si="33"/>
        <v>3.125E-2</v>
      </c>
      <c r="H819" t="s">
        <v>34</v>
      </c>
    </row>
    <row r="820" spans="1:8">
      <c r="A820">
        <v>2024</v>
      </c>
      <c r="B820">
        <v>12</v>
      </c>
      <c r="C820" t="s">
        <v>8</v>
      </c>
      <c r="D820">
        <f>VLOOKUP(C820,[7]FP!$C:$U,19,0)</f>
        <v>13</v>
      </c>
      <c r="E820">
        <f>VLOOKUP(C820,[7]FP!$C:$U,15,0)</f>
        <v>15</v>
      </c>
      <c r="F820">
        <f t="shared" si="32"/>
        <v>-2</v>
      </c>
      <c r="G820">
        <f t="shared" si="33"/>
        <v>-0.13333333333333333</v>
      </c>
      <c r="H820" t="s">
        <v>9</v>
      </c>
    </row>
    <row r="821" spans="1:8">
      <c r="A821">
        <v>2024</v>
      </c>
      <c r="B821">
        <v>12</v>
      </c>
      <c r="C821" t="s">
        <v>10</v>
      </c>
      <c r="D821">
        <f>VLOOKUP(C821,[7]FP!$C:$U,19,0)</f>
        <v>49</v>
      </c>
      <c r="E821">
        <f>VLOOKUP(C821,[7]FP!$C:$U,15,0)</f>
        <v>46</v>
      </c>
      <c r="F821">
        <f t="shared" si="32"/>
        <v>3</v>
      </c>
      <c r="G821">
        <f t="shared" si="33"/>
        <v>6.5217391304347824E-2</v>
      </c>
      <c r="H821" t="s">
        <v>9</v>
      </c>
    </row>
    <row r="822" spans="1:8">
      <c r="A822">
        <v>2024</v>
      </c>
      <c r="B822">
        <v>12</v>
      </c>
      <c r="C822" t="s">
        <v>11</v>
      </c>
      <c r="D822">
        <f>VLOOKUP(C822,[7]FP!$C:$U,19,0)</f>
        <v>49</v>
      </c>
      <c r="E822">
        <f>VLOOKUP(C822,[7]FP!$C:$U,15,0)</f>
        <v>47</v>
      </c>
      <c r="F822">
        <f t="shared" si="32"/>
        <v>2</v>
      </c>
      <c r="G822">
        <f t="shared" si="33"/>
        <v>4.2553191489361701E-2</v>
      </c>
      <c r="H822" t="s">
        <v>9</v>
      </c>
    </row>
    <row r="823" spans="1:8">
      <c r="A823">
        <v>2024</v>
      </c>
      <c r="B823">
        <v>12</v>
      </c>
      <c r="C823" t="s">
        <v>12</v>
      </c>
      <c r="D823">
        <f>VLOOKUP(C823,[7]FP!$C:$U,19,0)</f>
        <v>74</v>
      </c>
      <c r="E823">
        <f>VLOOKUP(C823,[7]FP!$C:$U,15,0)</f>
        <v>69</v>
      </c>
      <c r="F823">
        <f t="shared" si="32"/>
        <v>5</v>
      </c>
      <c r="G823">
        <f t="shared" si="33"/>
        <v>7.2463768115942032E-2</v>
      </c>
      <c r="H823" t="s">
        <v>9</v>
      </c>
    </row>
    <row r="824" spans="1:8">
      <c r="A824">
        <v>2024</v>
      </c>
      <c r="B824">
        <v>12</v>
      </c>
      <c r="C824" t="s">
        <v>13</v>
      </c>
      <c r="D824">
        <f>VLOOKUP(C824,[7]FP!$C:$U,19,0)</f>
        <v>19</v>
      </c>
      <c r="E824">
        <f>VLOOKUP(C824,[7]FP!$C:$U,15,0)</f>
        <v>17</v>
      </c>
      <c r="F824">
        <f t="shared" si="32"/>
        <v>2</v>
      </c>
      <c r="G824">
        <f t="shared" si="33"/>
        <v>0.11764705882352941</v>
      </c>
      <c r="H824" t="s">
        <v>9</v>
      </c>
    </row>
    <row r="825" spans="1:8">
      <c r="A825">
        <v>2024</v>
      </c>
      <c r="B825">
        <v>12</v>
      </c>
      <c r="C825" t="s">
        <v>14</v>
      </c>
      <c r="D825">
        <f>VLOOKUP(C825,[7]FP!$C:$U,19,0)</f>
        <v>258</v>
      </c>
      <c r="E825">
        <f>VLOOKUP(C825,[7]FP!$C:$U,15,0)</f>
        <v>258</v>
      </c>
      <c r="F825">
        <f t="shared" si="32"/>
        <v>0</v>
      </c>
      <c r="G825">
        <f t="shared" si="33"/>
        <v>0</v>
      </c>
      <c r="H825" t="s">
        <v>9</v>
      </c>
    </row>
    <row r="826" spans="1:8">
      <c r="A826">
        <v>2024</v>
      </c>
      <c r="B826">
        <v>12</v>
      </c>
      <c r="C826" t="s">
        <v>15</v>
      </c>
      <c r="D826">
        <v>162</v>
      </c>
      <c r="E826">
        <v>166</v>
      </c>
      <c r="F826">
        <f t="shared" si="32"/>
        <v>-4</v>
      </c>
      <c r="G826">
        <f t="shared" si="33"/>
        <v>-2.4096385542168676E-2</v>
      </c>
      <c r="H826" t="s">
        <v>9</v>
      </c>
    </row>
    <row r="827" spans="1:8">
      <c r="A827">
        <v>2024</v>
      </c>
      <c r="B827">
        <v>12</v>
      </c>
      <c r="C827" t="s">
        <v>16</v>
      </c>
      <c r="D827">
        <f>VLOOKUP(C827,[7]FP!$C:$U,19,0)</f>
        <v>39</v>
      </c>
      <c r="E827">
        <f>VLOOKUP(C827,[7]FP!$C:$U,15,0)</f>
        <v>39</v>
      </c>
      <c r="F827">
        <f t="shared" si="32"/>
        <v>0</v>
      </c>
      <c r="G827">
        <f t="shared" si="33"/>
        <v>0</v>
      </c>
      <c r="H827" t="s">
        <v>9</v>
      </c>
    </row>
    <row r="828" spans="1:8">
      <c r="A828">
        <v>2024</v>
      </c>
      <c r="B828">
        <v>12</v>
      </c>
      <c r="C828" t="s">
        <v>17</v>
      </c>
      <c r="D828">
        <f>VLOOKUP(C828,[7]FP!$C:$U,19,0)</f>
        <v>46</v>
      </c>
      <c r="E828">
        <f>VLOOKUP(C828,[7]FP!$C:$U,15,0)</f>
        <v>43</v>
      </c>
      <c r="F828">
        <f t="shared" si="32"/>
        <v>3</v>
      </c>
      <c r="G828">
        <f t="shared" si="33"/>
        <v>6.9767441860465115E-2</v>
      </c>
      <c r="H828" t="s">
        <v>9</v>
      </c>
    </row>
    <row r="829" spans="1:8">
      <c r="A829">
        <v>2024</v>
      </c>
      <c r="B829">
        <v>12</v>
      </c>
      <c r="C829" t="s">
        <v>18</v>
      </c>
      <c r="D829">
        <f>VLOOKUP(C829,[7]FP!$C:$U,19,0)</f>
        <v>59</v>
      </c>
      <c r="E829">
        <f>VLOOKUP(C829,[7]FP!$C:$U,15,0)</f>
        <v>58</v>
      </c>
      <c r="F829">
        <f t="shared" si="32"/>
        <v>1</v>
      </c>
      <c r="G829">
        <f t="shared" si="33"/>
        <v>1.7241379310344827E-2</v>
      </c>
      <c r="H829" t="s">
        <v>9</v>
      </c>
    </row>
    <row r="830" spans="1:8">
      <c r="A830">
        <v>2024</v>
      </c>
      <c r="B830">
        <v>12</v>
      </c>
      <c r="C830" t="s">
        <v>19</v>
      </c>
      <c r="D830">
        <f>VLOOKUP(C830,[7]FP!$C:$U,19,0)</f>
        <v>85</v>
      </c>
      <c r="E830">
        <f>VLOOKUP(C830,[7]FP!$C:$U,15,0)</f>
        <v>85</v>
      </c>
      <c r="F830">
        <f t="shared" ref="F830:F855" si="34">D830-E830</f>
        <v>0</v>
      </c>
      <c r="G830">
        <f t="shared" si="33"/>
        <v>0</v>
      </c>
      <c r="H830" t="s">
        <v>9</v>
      </c>
    </row>
    <row r="831" spans="1:8">
      <c r="A831">
        <v>2024</v>
      </c>
      <c r="B831">
        <v>12</v>
      </c>
      <c r="C831" t="s">
        <v>20</v>
      </c>
      <c r="D831">
        <f>VLOOKUP(C831,[7]FP!$C:$U,19,0)</f>
        <v>34</v>
      </c>
      <c r="E831">
        <f>VLOOKUP(C831,[7]FP!$C:$U,15,0)</f>
        <v>32</v>
      </c>
      <c r="F831">
        <f t="shared" si="34"/>
        <v>2</v>
      </c>
      <c r="G831">
        <f t="shared" si="33"/>
        <v>6.25E-2</v>
      </c>
      <c r="H831" t="s">
        <v>9</v>
      </c>
    </row>
    <row r="832" spans="1:8">
      <c r="A832">
        <v>2024</v>
      </c>
      <c r="B832">
        <v>12</v>
      </c>
      <c r="C832" t="s">
        <v>21</v>
      </c>
      <c r="D832">
        <f>VLOOKUP(C832,[7]FP!$C:$U,19,0)</f>
        <v>114</v>
      </c>
      <c r="E832">
        <f>VLOOKUP(C832,[7]FP!$C:$U,15,0)</f>
        <v>112</v>
      </c>
      <c r="F832">
        <f t="shared" si="34"/>
        <v>2</v>
      </c>
      <c r="G832">
        <f t="shared" si="33"/>
        <v>1.7857142857142856E-2</v>
      </c>
      <c r="H832" t="s">
        <v>9</v>
      </c>
    </row>
    <row r="833" spans="1:8">
      <c r="A833">
        <v>2024</v>
      </c>
      <c r="B833">
        <v>12</v>
      </c>
      <c r="C833" t="s">
        <v>22</v>
      </c>
      <c r="D833">
        <f>VLOOKUP(C833,[7]FP!$C:$U,19,0)</f>
        <v>18</v>
      </c>
      <c r="E833">
        <f>VLOOKUP(C833,[7]FP!$C:$U,15,0)</f>
        <v>22</v>
      </c>
      <c r="F833">
        <f t="shared" si="34"/>
        <v>-4</v>
      </c>
      <c r="G833">
        <f t="shared" si="33"/>
        <v>-0.18181818181818182</v>
      </c>
      <c r="H833" t="s">
        <v>9</v>
      </c>
    </row>
    <row r="834" spans="1:8">
      <c r="A834">
        <v>2024</v>
      </c>
      <c r="B834">
        <v>12</v>
      </c>
      <c r="C834" t="s">
        <v>23</v>
      </c>
      <c r="D834">
        <f>VLOOKUP(C834,[7]FP!$C:$U,19,0)</f>
        <v>38</v>
      </c>
      <c r="E834">
        <f>VLOOKUP(C834,[7]FP!$C:$U,15,0)</f>
        <v>35</v>
      </c>
      <c r="F834">
        <f t="shared" si="34"/>
        <v>3</v>
      </c>
      <c r="G834">
        <f t="shared" si="33"/>
        <v>8.5714285714285715E-2</v>
      </c>
      <c r="H834" t="s">
        <v>9</v>
      </c>
    </row>
    <row r="835" spans="1:8">
      <c r="A835">
        <v>2024</v>
      </c>
      <c r="B835">
        <v>12</v>
      </c>
      <c r="C835" t="s">
        <v>24</v>
      </c>
      <c r="D835">
        <f>VLOOKUP(C835,[7]FP!$C:$U,19,0)</f>
        <v>68</v>
      </c>
      <c r="E835">
        <f>VLOOKUP(C835,[7]FP!$C:$U,15,0)</f>
        <v>65</v>
      </c>
      <c r="F835">
        <f t="shared" si="34"/>
        <v>3</v>
      </c>
      <c r="G835">
        <f t="shared" si="33"/>
        <v>4.6153846153846156E-2</v>
      </c>
      <c r="H835" t="s">
        <v>9</v>
      </c>
    </row>
    <row r="836" spans="1:8">
      <c r="A836">
        <v>2024</v>
      </c>
      <c r="B836">
        <v>12</v>
      </c>
      <c r="C836" t="s">
        <v>25</v>
      </c>
      <c r="D836">
        <f>VLOOKUP(C836,[7]FP!$C:$U,19,0)</f>
        <v>59</v>
      </c>
      <c r="E836">
        <f>VLOOKUP(C836,[7]FP!$C:$U,15,0)</f>
        <v>77</v>
      </c>
      <c r="F836">
        <f t="shared" si="34"/>
        <v>-18</v>
      </c>
      <c r="G836">
        <f t="shared" si="33"/>
        <v>-0.23376623376623376</v>
      </c>
      <c r="H836" t="s">
        <v>9</v>
      </c>
    </row>
    <row r="837" spans="1:8">
      <c r="A837">
        <v>2024</v>
      </c>
      <c r="B837">
        <v>12</v>
      </c>
      <c r="C837" t="s">
        <v>26</v>
      </c>
      <c r="D837">
        <f>VLOOKUP(C837,[7]FP!$C:$U,19,0)</f>
        <v>55</v>
      </c>
      <c r="E837">
        <f>VLOOKUP(C837,[7]FP!$C:$U,15,0)</f>
        <v>59</v>
      </c>
      <c r="F837">
        <f t="shared" si="34"/>
        <v>-4</v>
      </c>
      <c r="G837">
        <f t="shared" si="33"/>
        <v>-6.7796610169491525E-2</v>
      </c>
      <c r="H837" t="s">
        <v>9</v>
      </c>
    </row>
    <row r="838" spans="1:8">
      <c r="A838">
        <v>2024</v>
      </c>
      <c r="B838">
        <v>12</v>
      </c>
      <c r="C838" t="s">
        <v>27</v>
      </c>
      <c r="D838">
        <f>VLOOKUP(C838,[7]FP!$C:$U,19,0)</f>
        <v>107</v>
      </c>
      <c r="E838">
        <f>VLOOKUP(C838,[7]FP!$C:$U,15,0)</f>
        <v>109</v>
      </c>
      <c r="F838">
        <f t="shared" si="34"/>
        <v>-2</v>
      </c>
      <c r="G838">
        <f t="shared" si="33"/>
        <v>-1.834862385321101E-2</v>
      </c>
      <c r="H838" t="s">
        <v>9</v>
      </c>
    </row>
    <row r="839" spans="1:8">
      <c r="A839">
        <v>2024</v>
      </c>
      <c r="B839">
        <v>12</v>
      </c>
      <c r="C839" t="s">
        <v>28</v>
      </c>
      <c r="D839">
        <f>VLOOKUP(C839,[7]FP!$C:$U,19,0)</f>
        <v>35</v>
      </c>
      <c r="E839">
        <f>VLOOKUP(C839,[7]FP!$C:$U,15,0)</f>
        <v>36</v>
      </c>
      <c r="F839">
        <f t="shared" si="34"/>
        <v>-1</v>
      </c>
      <c r="G839">
        <f t="shared" si="33"/>
        <v>-2.7777777777777776E-2</v>
      </c>
      <c r="H839" t="s">
        <v>9</v>
      </c>
    </row>
    <row r="840" spans="1:8">
      <c r="A840">
        <v>2024</v>
      </c>
      <c r="B840">
        <v>12</v>
      </c>
      <c r="C840" t="s">
        <v>29</v>
      </c>
      <c r="D840">
        <f>VLOOKUP(C840,[7]FP!$C:$U,19,0)</f>
        <v>49</v>
      </c>
      <c r="E840">
        <f>VLOOKUP(C840,[7]FP!$C:$U,15,0)</f>
        <v>46</v>
      </c>
      <c r="F840">
        <f t="shared" si="34"/>
        <v>3</v>
      </c>
      <c r="G840">
        <f t="shared" si="33"/>
        <v>6.5217391304347824E-2</v>
      </c>
      <c r="H840" t="s">
        <v>9</v>
      </c>
    </row>
    <row r="841" spans="1:8">
      <c r="A841">
        <v>2024</v>
      </c>
      <c r="B841">
        <v>12</v>
      </c>
      <c r="C841" t="s">
        <v>30</v>
      </c>
      <c r="D841">
        <f>VLOOKUP(C841,[7]FP!$C:$U,19,0)</f>
        <v>65</v>
      </c>
      <c r="E841">
        <f>VLOOKUP(C841,[7]FP!$C:$U,15,0)</f>
        <v>81</v>
      </c>
      <c r="F841">
        <f t="shared" si="34"/>
        <v>-16</v>
      </c>
      <c r="G841">
        <f t="shared" si="33"/>
        <v>-0.19753086419753085</v>
      </c>
      <c r="H841" t="s">
        <v>9</v>
      </c>
    </row>
    <row r="842" spans="1:8">
      <c r="A842">
        <v>2024</v>
      </c>
      <c r="B842">
        <v>12</v>
      </c>
      <c r="C842" t="s">
        <v>31</v>
      </c>
      <c r="D842">
        <f>VLOOKUP(C842,[7]FP!$C:$U,19,0)</f>
        <v>46</v>
      </c>
      <c r="E842">
        <f>VLOOKUP(C842,[7]FP!$C:$U,15,0)</f>
        <v>45</v>
      </c>
      <c r="F842">
        <f t="shared" si="34"/>
        <v>1</v>
      </c>
      <c r="G842">
        <f t="shared" si="33"/>
        <v>2.2222222222222223E-2</v>
      </c>
      <c r="H842" t="s">
        <v>9</v>
      </c>
    </row>
    <row r="843" spans="1:8">
      <c r="A843">
        <v>2024</v>
      </c>
      <c r="B843">
        <v>12</v>
      </c>
      <c r="C843" t="s">
        <v>32</v>
      </c>
      <c r="D843">
        <f>VLOOKUP(C843,[7]FP!$C:$U,19,0)</f>
        <v>73</v>
      </c>
      <c r="E843">
        <f>VLOOKUP(C843,[7]FP!$C:$U,15,0)</f>
        <v>65</v>
      </c>
      <c r="F843">
        <f t="shared" si="34"/>
        <v>8</v>
      </c>
      <c r="G843">
        <f t="shared" si="33"/>
        <v>0.12307692307692308</v>
      </c>
      <c r="H843" t="s">
        <v>9</v>
      </c>
    </row>
    <row r="844" spans="1:8">
      <c r="A844">
        <v>2024</v>
      </c>
      <c r="B844">
        <v>12</v>
      </c>
      <c r="C844" t="s">
        <v>33</v>
      </c>
      <c r="D844">
        <f>VLOOKUP(C844,[7]FP!$C:$U,19,0)</f>
        <v>37</v>
      </c>
      <c r="E844">
        <f>VLOOKUP(C844,[7]FP!$C:$U,15,0)</f>
        <v>33</v>
      </c>
      <c r="F844">
        <f t="shared" si="34"/>
        <v>4</v>
      </c>
      <c r="G844">
        <f t="shared" si="33"/>
        <v>0.12121212121212122</v>
      </c>
      <c r="H844" t="s">
        <v>9</v>
      </c>
    </row>
    <row r="845" spans="1:8">
      <c r="A845">
        <v>2024</v>
      </c>
      <c r="B845">
        <v>12</v>
      </c>
      <c r="C845" t="s">
        <v>35</v>
      </c>
      <c r="D845">
        <f>VLOOKUP(C845,[7]FP!$C:$U,19,0)</f>
        <v>35</v>
      </c>
      <c r="E845">
        <f>VLOOKUP(C845,[7]FP!$C:$U,15,0)</f>
        <v>30</v>
      </c>
      <c r="F845">
        <f t="shared" si="34"/>
        <v>5</v>
      </c>
      <c r="G845">
        <f t="shared" si="33"/>
        <v>0.16666666666666666</v>
      </c>
      <c r="H845" t="s">
        <v>9</v>
      </c>
    </row>
    <row r="846" spans="1:8">
      <c r="A846">
        <v>2024</v>
      </c>
      <c r="B846">
        <v>12</v>
      </c>
      <c r="C846" t="s">
        <v>15</v>
      </c>
      <c r="D846">
        <v>65</v>
      </c>
      <c r="E846">
        <v>64</v>
      </c>
      <c r="F846">
        <f t="shared" si="34"/>
        <v>1</v>
      </c>
      <c r="G846">
        <f t="shared" si="33"/>
        <v>1.5625E-2</v>
      </c>
      <c r="H846" t="s">
        <v>34</v>
      </c>
    </row>
    <row r="847" spans="1:8">
      <c r="A847">
        <v>2025</v>
      </c>
      <c r="B847">
        <v>1</v>
      </c>
      <c r="C847" t="s">
        <v>10</v>
      </c>
      <c r="D847">
        <f>VLOOKUP(C847,[7]FP!$C:$U,19,0)</f>
        <v>49</v>
      </c>
      <c r="E847">
        <f>VLOOKUP(C847,[7]FP!$C:$U,15,0)</f>
        <v>46</v>
      </c>
      <c r="F847">
        <f t="shared" si="34"/>
        <v>3</v>
      </c>
      <c r="G847">
        <f t="shared" ref="G847:G872" si="35">F847/E847</f>
        <v>6.5217391304347824E-2</v>
      </c>
      <c r="H847" t="s">
        <v>9</v>
      </c>
    </row>
    <row r="848" spans="1:8">
      <c r="A848">
        <v>2025</v>
      </c>
      <c r="B848">
        <v>1</v>
      </c>
      <c r="C848" t="s">
        <v>11</v>
      </c>
      <c r="D848">
        <f>VLOOKUP(C848,[7]FP!$C:$U,19,0)</f>
        <v>49</v>
      </c>
      <c r="E848">
        <f>VLOOKUP(C848,[7]FP!$C:$U,15,0)</f>
        <v>47</v>
      </c>
      <c r="F848">
        <f t="shared" si="34"/>
        <v>2</v>
      </c>
      <c r="G848">
        <f t="shared" si="35"/>
        <v>4.2553191489361701E-2</v>
      </c>
      <c r="H848" t="s">
        <v>9</v>
      </c>
    </row>
    <row r="849" spans="1:8">
      <c r="A849">
        <v>2025</v>
      </c>
      <c r="B849">
        <v>1</v>
      </c>
      <c r="C849" t="s">
        <v>12</v>
      </c>
      <c r="D849">
        <f>VLOOKUP(C849,[7]FP!$C:$U,19,0)</f>
        <v>74</v>
      </c>
      <c r="E849">
        <f>VLOOKUP(C849,[7]FP!$C:$U,15,0)</f>
        <v>69</v>
      </c>
      <c r="F849">
        <f t="shared" si="34"/>
        <v>5</v>
      </c>
      <c r="G849">
        <f t="shared" si="35"/>
        <v>7.2463768115942032E-2</v>
      </c>
      <c r="H849" t="s">
        <v>9</v>
      </c>
    </row>
    <row r="850" spans="1:8">
      <c r="A850">
        <v>2025</v>
      </c>
      <c r="B850">
        <v>1</v>
      </c>
      <c r="C850" t="s">
        <v>13</v>
      </c>
      <c r="D850">
        <f>VLOOKUP(C850,[7]FP!$C:$U,19,0)</f>
        <v>19</v>
      </c>
      <c r="E850">
        <f>VLOOKUP(C850,[7]FP!$C:$U,15,0)</f>
        <v>17</v>
      </c>
      <c r="F850">
        <f t="shared" si="34"/>
        <v>2</v>
      </c>
      <c r="G850">
        <f t="shared" si="35"/>
        <v>0.11764705882352941</v>
      </c>
      <c r="H850" t="s">
        <v>9</v>
      </c>
    </row>
    <row r="851" spans="1:8">
      <c r="A851">
        <v>2025</v>
      </c>
      <c r="B851">
        <v>1</v>
      </c>
      <c r="C851" t="s">
        <v>14</v>
      </c>
      <c r="D851">
        <f>VLOOKUP(C851,[7]FP!$C:$U,19,0)</f>
        <v>258</v>
      </c>
      <c r="E851">
        <f>VLOOKUP(C851,[7]FP!$C:$U,15,0)</f>
        <v>258</v>
      </c>
      <c r="F851">
        <f t="shared" si="34"/>
        <v>0</v>
      </c>
      <c r="G851">
        <f t="shared" si="35"/>
        <v>0</v>
      </c>
      <c r="H851" t="s">
        <v>9</v>
      </c>
    </row>
    <row r="852" spans="1:8">
      <c r="A852">
        <v>2025</v>
      </c>
      <c r="B852">
        <v>1</v>
      </c>
      <c r="C852" t="s">
        <v>15</v>
      </c>
      <c r="D852">
        <v>162</v>
      </c>
      <c r="E852">
        <v>166</v>
      </c>
      <c r="F852">
        <f t="shared" si="34"/>
        <v>-4</v>
      </c>
      <c r="G852">
        <f t="shared" si="35"/>
        <v>-2.4096385542168676E-2</v>
      </c>
      <c r="H852" t="s">
        <v>9</v>
      </c>
    </row>
    <row r="853" spans="1:8">
      <c r="A853">
        <v>2025</v>
      </c>
      <c r="B853">
        <v>1</v>
      </c>
      <c r="C853" t="s">
        <v>16</v>
      </c>
      <c r="D853">
        <f>VLOOKUP(C853,[7]FP!$C:$U,19,0)</f>
        <v>39</v>
      </c>
      <c r="E853">
        <f>VLOOKUP(C853,[7]FP!$C:$U,15,0)</f>
        <v>39</v>
      </c>
      <c r="F853">
        <f t="shared" si="34"/>
        <v>0</v>
      </c>
      <c r="G853">
        <f t="shared" si="35"/>
        <v>0</v>
      </c>
      <c r="H853" t="s">
        <v>9</v>
      </c>
    </row>
    <row r="854" spans="1:8">
      <c r="A854">
        <v>2025</v>
      </c>
      <c r="B854">
        <v>1</v>
      </c>
      <c r="C854" t="s">
        <v>17</v>
      </c>
      <c r="D854">
        <f>VLOOKUP(C854,[7]FP!$C:$U,19,0)</f>
        <v>46</v>
      </c>
      <c r="E854">
        <f>VLOOKUP(C854,[7]FP!$C:$U,15,0)</f>
        <v>43</v>
      </c>
      <c r="F854">
        <f t="shared" si="34"/>
        <v>3</v>
      </c>
      <c r="G854">
        <f t="shared" si="35"/>
        <v>6.9767441860465115E-2</v>
      </c>
      <c r="H854" t="s">
        <v>9</v>
      </c>
    </row>
    <row r="855" spans="1:8">
      <c r="A855">
        <v>2025</v>
      </c>
      <c r="B855">
        <v>1</v>
      </c>
      <c r="C855" t="s">
        <v>18</v>
      </c>
      <c r="D855">
        <f>VLOOKUP(C855,[7]FP!$C:$U,19,0)</f>
        <v>59</v>
      </c>
      <c r="E855">
        <f>VLOOKUP(C855,[7]FP!$C:$U,15,0)</f>
        <v>58</v>
      </c>
      <c r="F855">
        <f t="shared" si="34"/>
        <v>1</v>
      </c>
      <c r="G855">
        <f t="shared" si="35"/>
        <v>1.7241379310344827E-2</v>
      </c>
      <c r="H855" t="s">
        <v>9</v>
      </c>
    </row>
    <row r="856" spans="1:8">
      <c r="A856">
        <v>2025</v>
      </c>
      <c r="B856">
        <v>1</v>
      </c>
      <c r="C856" t="s">
        <v>19</v>
      </c>
      <c r="D856">
        <f>VLOOKUP(C856,[7]FP!$C:$U,19,0)</f>
        <v>85</v>
      </c>
      <c r="E856">
        <f>VLOOKUP(C856,[7]FP!$C:$U,15,0)</f>
        <v>85</v>
      </c>
      <c r="F856">
        <f t="shared" ref="F856:F881" si="36">D856-E856</f>
        <v>0</v>
      </c>
      <c r="G856">
        <f t="shared" si="35"/>
        <v>0</v>
      </c>
      <c r="H856" t="s">
        <v>9</v>
      </c>
    </row>
    <row r="857" spans="1:8">
      <c r="A857">
        <v>2025</v>
      </c>
      <c r="B857">
        <v>1</v>
      </c>
      <c r="C857" t="s">
        <v>20</v>
      </c>
      <c r="D857">
        <f>VLOOKUP(C857,[7]FP!$C:$U,19,0)</f>
        <v>34</v>
      </c>
      <c r="E857">
        <f>VLOOKUP(C857,[7]FP!$C:$U,15,0)</f>
        <v>32</v>
      </c>
      <c r="F857">
        <f t="shared" si="36"/>
        <v>2</v>
      </c>
      <c r="G857">
        <f t="shared" si="35"/>
        <v>6.25E-2</v>
      </c>
      <c r="H857" t="s">
        <v>9</v>
      </c>
    </row>
    <row r="858" spans="1:8">
      <c r="A858">
        <v>2025</v>
      </c>
      <c r="B858">
        <v>1</v>
      </c>
      <c r="C858" t="s">
        <v>21</v>
      </c>
      <c r="D858">
        <f>VLOOKUP(C858,[7]FP!$C:$U,19,0)</f>
        <v>114</v>
      </c>
      <c r="E858">
        <f>VLOOKUP(C858,[7]FP!$C:$U,15,0)</f>
        <v>112</v>
      </c>
      <c r="F858">
        <f t="shared" si="36"/>
        <v>2</v>
      </c>
      <c r="G858">
        <f t="shared" si="35"/>
        <v>1.7857142857142856E-2</v>
      </c>
      <c r="H858" t="s">
        <v>9</v>
      </c>
    </row>
    <row r="859" spans="1:8">
      <c r="A859">
        <v>2025</v>
      </c>
      <c r="B859">
        <v>1</v>
      </c>
      <c r="C859" t="s">
        <v>22</v>
      </c>
      <c r="D859">
        <f>VLOOKUP(C859,[7]FP!$C:$U,19,0)</f>
        <v>18</v>
      </c>
      <c r="E859">
        <f>VLOOKUP(C859,[7]FP!$C:$U,15,0)</f>
        <v>22</v>
      </c>
      <c r="F859">
        <f t="shared" si="36"/>
        <v>-4</v>
      </c>
      <c r="G859">
        <f t="shared" si="35"/>
        <v>-0.18181818181818182</v>
      </c>
      <c r="H859" t="s">
        <v>9</v>
      </c>
    </row>
    <row r="860" spans="1:8">
      <c r="A860">
        <v>2025</v>
      </c>
      <c r="B860">
        <v>1</v>
      </c>
      <c r="C860" t="s">
        <v>23</v>
      </c>
      <c r="D860">
        <f>VLOOKUP(C860,[7]FP!$C:$U,19,0)</f>
        <v>38</v>
      </c>
      <c r="E860">
        <f>VLOOKUP(C860,[7]FP!$C:$U,15,0)</f>
        <v>35</v>
      </c>
      <c r="F860">
        <f t="shared" si="36"/>
        <v>3</v>
      </c>
      <c r="G860">
        <f t="shared" si="35"/>
        <v>8.5714285714285715E-2</v>
      </c>
      <c r="H860" t="s">
        <v>9</v>
      </c>
    </row>
    <row r="861" spans="1:8">
      <c r="A861">
        <v>2025</v>
      </c>
      <c r="B861">
        <v>1</v>
      </c>
      <c r="C861" t="s">
        <v>24</v>
      </c>
      <c r="D861">
        <f>VLOOKUP(C861,[7]FP!$C:$U,19,0)</f>
        <v>68</v>
      </c>
      <c r="E861">
        <f>VLOOKUP(C861,[7]FP!$C:$U,15,0)</f>
        <v>65</v>
      </c>
      <c r="F861">
        <f t="shared" si="36"/>
        <v>3</v>
      </c>
      <c r="G861">
        <f t="shared" si="35"/>
        <v>4.6153846153846156E-2</v>
      </c>
      <c r="H861" t="s">
        <v>9</v>
      </c>
    </row>
    <row r="862" spans="1:8">
      <c r="A862">
        <v>2025</v>
      </c>
      <c r="B862">
        <v>1</v>
      </c>
      <c r="C862" t="s">
        <v>25</v>
      </c>
      <c r="D862">
        <f>VLOOKUP(C862,[7]FP!$C:$U,19,0)</f>
        <v>59</v>
      </c>
      <c r="E862">
        <f>VLOOKUP(C862,[7]FP!$C:$U,15,0)</f>
        <v>77</v>
      </c>
      <c r="F862">
        <f t="shared" si="36"/>
        <v>-18</v>
      </c>
      <c r="G862">
        <f t="shared" si="35"/>
        <v>-0.23376623376623376</v>
      </c>
      <c r="H862" t="s">
        <v>9</v>
      </c>
    </row>
    <row r="863" spans="1:8">
      <c r="A863">
        <v>2025</v>
      </c>
      <c r="B863">
        <v>1</v>
      </c>
      <c r="C863" t="s">
        <v>26</v>
      </c>
      <c r="D863">
        <f>VLOOKUP(C863,[7]FP!$C:$U,19,0)</f>
        <v>55</v>
      </c>
      <c r="E863">
        <f>VLOOKUP(C863,[7]FP!$C:$U,15,0)</f>
        <v>59</v>
      </c>
      <c r="F863">
        <f t="shared" si="36"/>
        <v>-4</v>
      </c>
      <c r="G863">
        <f t="shared" si="35"/>
        <v>-6.7796610169491525E-2</v>
      </c>
      <c r="H863" t="s">
        <v>9</v>
      </c>
    </row>
    <row r="864" spans="1:8">
      <c r="A864">
        <v>2025</v>
      </c>
      <c r="B864">
        <v>1</v>
      </c>
      <c r="C864" t="s">
        <v>27</v>
      </c>
      <c r="D864">
        <f>VLOOKUP(C864,[7]FP!$C:$U,19,0)</f>
        <v>107</v>
      </c>
      <c r="E864">
        <f>VLOOKUP(C864,[7]FP!$C:$U,15,0)</f>
        <v>109</v>
      </c>
      <c r="F864">
        <f t="shared" si="36"/>
        <v>-2</v>
      </c>
      <c r="G864">
        <f t="shared" si="35"/>
        <v>-1.834862385321101E-2</v>
      </c>
      <c r="H864" t="s">
        <v>9</v>
      </c>
    </row>
    <row r="865" spans="1:8">
      <c r="A865">
        <v>2025</v>
      </c>
      <c r="B865">
        <v>1</v>
      </c>
      <c r="C865" t="s">
        <v>28</v>
      </c>
      <c r="D865">
        <f>VLOOKUP(C865,[7]FP!$C:$U,19,0)</f>
        <v>35</v>
      </c>
      <c r="E865">
        <f>VLOOKUP(C865,[7]FP!$C:$U,15,0)</f>
        <v>36</v>
      </c>
      <c r="F865">
        <f t="shared" si="36"/>
        <v>-1</v>
      </c>
      <c r="G865">
        <f t="shared" si="35"/>
        <v>-2.7777777777777776E-2</v>
      </c>
      <c r="H865" t="s">
        <v>9</v>
      </c>
    </row>
    <row r="866" spans="1:8">
      <c r="A866">
        <v>2025</v>
      </c>
      <c r="B866">
        <v>1</v>
      </c>
      <c r="C866" t="s">
        <v>29</v>
      </c>
      <c r="D866">
        <f>VLOOKUP(C866,[7]FP!$C:$U,19,0)</f>
        <v>49</v>
      </c>
      <c r="E866">
        <f>VLOOKUP(C866,[7]FP!$C:$U,15,0)</f>
        <v>46</v>
      </c>
      <c r="F866">
        <f t="shared" si="36"/>
        <v>3</v>
      </c>
      <c r="G866">
        <f t="shared" si="35"/>
        <v>6.5217391304347824E-2</v>
      </c>
      <c r="H866" t="s">
        <v>9</v>
      </c>
    </row>
    <row r="867" spans="1:8">
      <c r="A867">
        <v>2025</v>
      </c>
      <c r="B867">
        <v>1</v>
      </c>
      <c r="C867" t="s">
        <v>30</v>
      </c>
      <c r="D867">
        <f>VLOOKUP(C867,[7]FP!$C:$U,19,0)</f>
        <v>65</v>
      </c>
      <c r="E867">
        <f>VLOOKUP(C867,[7]FP!$C:$U,15,0)</f>
        <v>81</v>
      </c>
      <c r="F867">
        <f t="shared" si="36"/>
        <v>-16</v>
      </c>
      <c r="G867">
        <f t="shared" si="35"/>
        <v>-0.19753086419753085</v>
      </c>
      <c r="H867" t="s">
        <v>9</v>
      </c>
    </row>
    <row r="868" spans="1:8">
      <c r="A868">
        <v>2025</v>
      </c>
      <c r="B868">
        <v>1</v>
      </c>
      <c r="C868" t="s">
        <v>31</v>
      </c>
      <c r="D868">
        <f>VLOOKUP(C868,[7]FP!$C:$U,19,0)</f>
        <v>46</v>
      </c>
      <c r="E868">
        <f>VLOOKUP(C868,[7]FP!$C:$U,15,0)</f>
        <v>45</v>
      </c>
      <c r="F868">
        <f t="shared" si="36"/>
        <v>1</v>
      </c>
      <c r="G868">
        <f t="shared" si="35"/>
        <v>2.2222222222222223E-2</v>
      </c>
      <c r="H868" t="s">
        <v>9</v>
      </c>
    </row>
    <row r="869" spans="1:8">
      <c r="A869">
        <v>2025</v>
      </c>
      <c r="B869">
        <v>1</v>
      </c>
      <c r="C869" t="s">
        <v>32</v>
      </c>
      <c r="D869">
        <f>VLOOKUP(C869,[7]FP!$C:$U,19,0)</f>
        <v>73</v>
      </c>
      <c r="E869">
        <f>VLOOKUP(C869,[7]FP!$C:$U,15,0)</f>
        <v>65</v>
      </c>
      <c r="F869">
        <f t="shared" si="36"/>
        <v>8</v>
      </c>
      <c r="G869">
        <f t="shared" si="35"/>
        <v>0.12307692307692308</v>
      </c>
      <c r="H869" t="s">
        <v>9</v>
      </c>
    </row>
    <row r="870" spans="1:8">
      <c r="A870">
        <v>2025</v>
      </c>
      <c r="B870">
        <v>1</v>
      </c>
      <c r="C870" t="s">
        <v>33</v>
      </c>
      <c r="D870">
        <f>VLOOKUP(C870,[7]FP!$C:$U,19,0)</f>
        <v>37</v>
      </c>
      <c r="E870">
        <f>VLOOKUP(C870,[7]FP!$C:$U,15,0)</f>
        <v>33</v>
      </c>
      <c r="F870">
        <f t="shared" si="36"/>
        <v>4</v>
      </c>
      <c r="G870">
        <f t="shared" si="35"/>
        <v>0.12121212121212122</v>
      </c>
      <c r="H870" t="s">
        <v>9</v>
      </c>
    </row>
    <row r="871" spans="1:8">
      <c r="A871">
        <v>2025</v>
      </c>
      <c r="B871">
        <v>1</v>
      </c>
      <c r="C871" t="s">
        <v>35</v>
      </c>
      <c r="D871">
        <f>VLOOKUP(C871,[7]FP!$C:$U,19,0)</f>
        <v>35</v>
      </c>
      <c r="E871">
        <f>VLOOKUP(C871,[7]FP!$C:$U,15,0)</f>
        <v>30</v>
      </c>
      <c r="F871">
        <f t="shared" si="36"/>
        <v>5</v>
      </c>
      <c r="G871">
        <f t="shared" si="35"/>
        <v>0.16666666666666666</v>
      </c>
      <c r="H871" t="s">
        <v>9</v>
      </c>
    </row>
    <row r="872" spans="1:8">
      <c r="A872">
        <v>2025</v>
      </c>
      <c r="B872">
        <v>1</v>
      </c>
      <c r="C872" t="s">
        <v>15</v>
      </c>
      <c r="D872">
        <v>65</v>
      </c>
      <c r="E872">
        <v>64</v>
      </c>
      <c r="F872">
        <f t="shared" si="36"/>
        <v>1</v>
      </c>
      <c r="G872">
        <f t="shared" si="35"/>
        <v>1.5625E-2</v>
      </c>
      <c r="H872" t="s">
        <v>34</v>
      </c>
    </row>
    <row r="873" spans="1:8">
      <c r="A873">
        <v>2025</v>
      </c>
      <c r="B873">
        <v>2</v>
      </c>
      <c r="C873" t="s">
        <v>10</v>
      </c>
      <c r="D873">
        <f>VLOOKUP(C873,[7]FP!$C:$U,19,0)</f>
        <v>49</v>
      </c>
      <c r="E873">
        <f>VLOOKUP(C873,[7]FP!$C:$U,15,0)</f>
        <v>46</v>
      </c>
      <c r="F873">
        <f t="shared" si="36"/>
        <v>3</v>
      </c>
      <c r="G873">
        <f t="shared" ref="G873:G897" si="37">F873/E873</f>
        <v>6.5217391304347824E-2</v>
      </c>
      <c r="H873" t="s">
        <v>9</v>
      </c>
    </row>
    <row r="874" spans="1:8">
      <c r="A874">
        <v>2025</v>
      </c>
      <c r="B874">
        <v>2</v>
      </c>
      <c r="C874" t="s">
        <v>11</v>
      </c>
      <c r="D874">
        <f>VLOOKUP(C874,[7]FP!$C:$U,19,0)</f>
        <v>49</v>
      </c>
      <c r="E874">
        <f>VLOOKUP(C874,[7]FP!$C:$U,15,0)</f>
        <v>47</v>
      </c>
      <c r="F874">
        <f t="shared" si="36"/>
        <v>2</v>
      </c>
      <c r="G874">
        <f t="shared" si="37"/>
        <v>4.2553191489361701E-2</v>
      </c>
      <c r="H874" t="s">
        <v>9</v>
      </c>
    </row>
    <row r="875" spans="1:8">
      <c r="A875">
        <v>2025</v>
      </c>
      <c r="B875">
        <v>2</v>
      </c>
      <c r="C875" t="s">
        <v>12</v>
      </c>
      <c r="D875">
        <f>VLOOKUP(C875,[7]FP!$C:$U,19,0)</f>
        <v>74</v>
      </c>
      <c r="E875">
        <f>VLOOKUP(C875,[7]FP!$C:$U,15,0)</f>
        <v>69</v>
      </c>
      <c r="F875">
        <f t="shared" si="36"/>
        <v>5</v>
      </c>
      <c r="G875">
        <f t="shared" si="37"/>
        <v>7.2463768115942032E-2</v>
      </c>
      <c r="H875" t="s">
        <v>9</v>
      </c>
    </row>
    <row r="876" spans="1:8">
      <c r="A876">
        <v>2025</v>
      </c>
      <c r="B876">
        <v>2</v>
      </c>
      <c r="C876" t="s">
        <v>13</v>
      </c>
      <c r="D876">
        <f>VLOOKUP(C876,[7]FP!$C:$U,19,0)</f>
        <v>19</v>
      </c>
      <c r="E876">
        <f>VLOOKUP(C876,[7]FP!$C:$U,15,0)</f>
        <v>17</v>
      </c>
      <c r="F876">
        <f t="shared" si="36"/>
        <v>2</v>
      </c>
      <c r="G876">
        <f t="shared" si="37"/>
        <v>0.11764705882352941</v>
      </c>
      <c r="H876" t="s">
        <v>9</v>
      </c>
    </row>
    <row r="877" spans="1:8">
      <c r="A877">
        <v>2025</v>
      </c>
      <c r="B877">
        <v>2</v>
      </c>
      <c r="C877" t="s">
        <v>14</v>
      </c>
      <c r="D877">
        <f>VLOOKUP(C877,[7]FP!$C:$U,19,0)</f>
        <v>258</v>
      </c>
      <c r="E877">
        <f>VLOOKUP(C877,[7]FP!$C:$U,15,0)</f>
        <v>258</v>
      </c>
      <c r="F877">
        <f t="shared" si="36"/>
        <v>0</v>
      </c>
      <c r="G877">
        <f t="shared" si="37"/>
        <v>0</v>
      </c>
      <c r="H877" t="s">
        <v>9</v>
      </c>
    </row>
    <row r="878" spans="1:8">
      <c r="A878">
        <v>2025</v>
      </c>
      <c r="B878">
        <v>2</v>
      </c>
      <c r="C878" t="s">
        <v>15</v>
      </c>
      <c r="D878">
        <v>162</v>
      </c>
      <c r="E878">
        <v>166</v>
      </c>
      <c r="F878">
        <f t="shared" si="36"/>
        <v>-4</v>
      </c>
      <c r="G878">
        <f t="shared" si="37"/>
        <v>-2.4096385542168676E-2</v>
      </c>
      <c r="H878" t="s">
        <v>9</v>
      </c>
    </row>
    <row r="879" spans="1:8">
      <c r="A879">
        <v>2025</v>
      </c>
      <c r="B879">
        <v>2</v>
      </c>
      <c r="C879" t="s">
        <v>16</v>
      </c>
      <c r="D879">
        <f>VLOOKUP(C879,[7]FP!$C:$U,19,0)</f>
        <v>39</v>
      </c>
      <c r="E879">
        <f>VLOOKUP(C879,[7]FP!$C:$U,15,0)</f>
        <v>39</v>
      </c>
      <c r="F879">
        <f t="shared" si="36"/>
        <v>0</v>
      </c>
      <c r="G879">
        <f t="shared" si="37"/>
        <v>0</v>
      </c>
      <c r="H879" t="s">
        <v>9</v>
      </c>
    </row>
    <row r="880" spans="1:8">
      <c r="A880">
        <v>2025</v>
      </c>
      <c r="B880">
        <v>2</v>
      </c>
      <c r="C880" t="s">
        <v>17</v>
      </c>
      <c r="D880">
        <f>VLOOKUP(C880,[7]FP!$C:$U,19,0)</f>
        <v>46</v>
      </c>
      <c r="E880">
        <f>VLOOKUP(C880,[7]FP!$C:$U,15,0)</f>
        <v>43</v>
      </c>
      <c r="F880">
        <f t="shared" si="36"/>
        <v>3</v>
      </c>
      <c r="G880">
        <f t="shared" si="37"/>
        <v>6.9767441860465115E-2</v>
      </c>
      <c r="H880" t="s">
        <v>9</v>
      </c>
    </row>
    <row r="881" spans="1:8">
      <c r="A881">
        <v>2025</v>
      </c>
      <c r="B881">
        <v>2</v>
      </c>
      <c r="C881" t="s">
        <v>18</v>
      </c>
      <c r="D881">
        <f>VLOOKUP(C881,[7]FP!$C:$U,19,0)</f>
        <v>59</v>
      </c>
      <c r="E881">
        <f>VLOOKUP(C881,[7]FP!$C:$U,15,0)</f>
        <v>58</v>
      </c>
      <c r="F881">
        <f t="shared" si="36"/>
        <v>1</v>
      </c>
      <c r="G881">
        <f t="shared" si="37"/>
        <v>1.7241379310344827E-2</v>
      </c>
      <c r="H881" t="s">
        <v>9</v>
      </c>
    </row>
    <row r="882" spans="1:8">
      <c r="A882">
        <v>2025</v>
      </c>
      <c r="B882">
        <v>2</v>
      </c>
      <c r="C882" t="s">
        <v>19</v>
      </c>
      <c r="D882">
        <f>VLOOKUP(C882,[7]FP!$C:$U,19,0)</f>
        <v>85</v>
      </c>
      <c r="E882">
        <f>VLOOKUP(C882,[7]FP!$C:$U,15,0)</f>
        <v>85</v>
      </c>
      <c r="F882">
        <f t="shared" ref="F882:F898" si="38">D882-E882</f>
        <v>0</v>
      </c>
      <c r="G882">
        <f t="shared" si="37"/>
        <v>0</v>
      </c>
      <c r="H882" t="s">
        <v>9</v>
      </c>
    </row>
    <row r="883" spans="1:8">
      <c r="A883">
        <v>2025</v>
      </c>
      <c r="B883">
        <v>2</v>
      </c>
      <c r="C883" t="s">
        <v>20</v>
      </c>
      <c r="D883">
        <f>VLOOKUP(C883,[7]FP!$C:$U,19,0)</f>
        <v>34</v>
      </c>
      <c r="E883">
        <f>VLOOKUP(C883,[7]FP!$C:$U,15,0)</f>
        <v>32</v>
      </c>
      <c r="F883">
        <f t="shared" si="38"/>
        <v>2</v>
      </c>
      <c r="G883">
        <f t="shared" si="37"/>
        <v>6.25E-2</v>
      </c>
      <c r="H883" t="s">
        <v>9</v>
      </c>
    </row>
    <row r="884" spans="1:8">
      <c r="A884">
        <v>2025</v>
      </c>
      <c r="B884">
        <v>2</v>
      </c>
      <c r="C884" t="s">
        <v>21</v>
      </c>
      <c r="D884">
        <f>VLOOKUP(C884,[7]FP!$C:$U,19,0)</f>
        <v>114</v>
      </c>
      <c r="E884">
        <f>VLOOKUP(C884,[7]FP!$C:$U,15,0)</f>
        <v>112</v>
      </c>
      <c r="F884">
        <f t="shared" si="38"/>
        <v>2</v>
      </c>
      <c r="G884">
        <f t="shared" si="37"/>
        <v>1.7857142857142856E-2</v>
      </c>
      <c r="H884" t="s">
        <v>9</v>
      </c>
    </row>
    <row r="885" spans="1:8">
      <c r="A885">
        <v>2025</v>
      </c>
      <c r="B885">
        <v>2</v>
      </c>
      <c r="C885" t="s">
        <v>22</v>
      </c>
      <c r="D885">
        <f>VLOOKUP(C885,[7]FP!$C:$U,19,0)</f>
        <v>18</v>
      </c>
      <c r="E885">
        <f>VLOOKUP(C885,[7]FP!$C:$U,15,0)</f>
        <v>22</v>
      </c>
      <c r="F885">
        <f t="shared" si="38"/>
        <v>-4</v>
      </c>
      <c r="G885">
        <f t="shared" si="37"/>
        <v>-0.18181818181818182</v>
      </c>
      <c r="H885" t="s">
        <v>9</v>
      </c>
    </row>
    <row r="886" spans="1:8">
      <c r="A886">
        <v>2025</v>
      </c>
      <c r="B886">
        <v>2</v>
      </c>
      <c r="C886" t="s">
        <v>23</v>
      </c>
      <c r="D886">
        <f>VLOOKUP(C886,[7]FP!$C:$U,19,0)</f>
        <v>38</v>
      </c>
      <c r="E886">
        <f>VLOOKUP(C886,[7]FP!$C:$U,15,0)</f>
        <v>35</v>
      </c>
      <c r="F886">
        <f t="shared" si="38"/>
        <v>3</v>
      </c>
      <c r="G886">
        <f t="shared" si="37"/>
        <v>8.5714285714285715E-2</v>
      </c>
      <c r="H886" t="s">
        <v>9</v>
      </c>
    </row>
    <row r="887" spans="1:8">
      <c r="A887">
        <v>2025</v>
      </c>
      <c r="B887">
        <v>2</v>
      </c>
      <c r="C887" t="s">
        <v>24</v>
      </c>
      <c r="D887">
        <f>VLOOKUP(C887,[7]FP!$C:$U,19,0)</f>
        <v>68</v>
      </c>
      <c r="E887">
        <f>VLOOKUP(C887,[7]FP!$C:$U,15,0)</f>
        <v>65</v>
      </c>
      <c r="F887">
        <f t="shared" si="38"/>
        <v>3</v>
      </c>
      <c r="G887">
        <f t="shared" si="37"/>
        <v>4.6153846153846156E-2</v>
      </c>
      <c r="H887" t="s">
        <v>9</v>
      </c>
    </row>
    <row r="888" spans="1:8">
      <c r="A888">
        <v>2025</v>
      </c>
      <c r="B888">
        <v>2</v>
      </c>
      <c r="C888" t="s">
        <v>25</v>
      </c>
      <c r="D888">
        <f>VLOOKUP(C888,[7]FP!$C:$U,19,0)</f>
        <v>59</v>
      </c>
      <c r="E888">
        <f>VLOOKUP(C888,[7]FP!$C:$U,15,0)</f>
        <v>77</v>
      </c>
      <c r="F888">
        <f t="shared" si="38"/>
        <v>-18</v>
      </c>
      <c r="G888">
        <f t="shared" si="37"/>
        <v>-0.23376623376623376</v>
      </c>
      <c r="H888" t="s">
        <v>9</v>
      </c>
    </row>
    <row r="889" spans="1:8">
      <c r="A889">
        <v>2025</v>
      </c>
      <c r="B889">
        <v>2</v>
      </c>
      <c r="C889" t="s">
        <v>26</v>
      </c>
      <c r="D889">
        <f>VLOOKUP(C889,[7]FP!$C:$U,19,0)</f>
        <v>55</v>
      </c>
      <c r="E889">
        <f>VLOOKUP(C889,[7]FP!$C:$U,15,0)</f>
        <v>59</v>
      </c>
      <c r="F889">
        <f t="shared" si="38"/>
        <v>-4</v>
      </c>
      <c r="G889">
        <f t="shared" si="37"/>
        <v>-6.7796610169491525E-2</v>
      </c>
      <c r="H889" t="s">
        <v>9</v>
      </c>
    </row>
    <row r="890" spans="1:8">
      <c r="A890">
        <v>2025</v>
      </c>
      <c r="B890">
        <v>2</v>
      </c>
      <c r="C890" t="s">
        <v>27</v>
      </c>
      <c r="D890">
        <f>VLOOKUP(C890,[7]FP!$C:$U,19,0)</f>
        <v>107</v>
      </c>
      <c r="E890">
        <f>VLOOKUP(C890,[7]FP!$C:$U,15,0)</f>
        <v>109</v>
      </c>
      <c r="F890">
        <f t="shared" si="38"/>
        <v>-2</v>
      </c>
      <c r="G890">
        <f t="shared" si="37"/>
        <v>-1.834862385321101E-2</v>
      </c>
      <c r="H890" t="s">
        <v>9</v>
      </c>
    </row>
    <row r="891" spans="1:8">
      <c r="A891">
        <v>2025</v>
      </c>
      <c r="B891">
        <v>2</v>
      </c>
      <c r="C891" t="s">
        <v>28</v>
      </c>
      <c r="D891">
        <f>VLOOKUP(C891,[7]FP!$C:$U,19,0)</f>
        <v>35</v>
      </c>
      <c r="E891">
        <f>VLOOKUP(C891,[7]FP!$C:$U,15,0)</f>
        <v>36</v>
      </c>
      <c r="F891">
        <f t="shared" si="38"/>
        <v>-1</v>
      </c>
      <c r="G891">
        <f t="shared" si="37"/>
        <v>-2.7777777777777776E-2</v>
      </c>
      <c r="H891" t="s">
        <v>9</v>
      </c>
    </row>
    <row r="892" spans="1:8">
      <c r="A892">
        <v>2025</v>
      </c>
      <c r="B892">
        <v>2</v>
      </c>
      <c r="C892" t="s">
        <v>29</v>
      </c>
      <c r="D892">
        <f>VLOOKUP(C892,[7]FP!$C:$U,19,0)</f>
        <v>49</v>
      </c>
      <c r="E892">
        <f>VLOOKUP(C892,[7]FP!$C:$U,15,0)</f>
        <v>46</v>
      </c>
      <c r="F892">
        <f t="shared" si="38"/>
        <v>3</v>
      </c>
      <c r="G892">
        <f t="shared" si="37"/>
        <v>6.5217391304347824E-2</v>
      </c>
      <c r="H892" t="s">
        <v>9</v>
      </c>
    </row>
    <row r="893" spans="1:8">
      <c r="A893">
        <v>2025</v>
      </c>
      <c r="B893">
        <v>2</v>
      </c>
      <c r="C893" t="s">
        <v>30</v>
      </c>
      <c r="D893">
        <f>VLOOKUP(C893,[7]FP!$C:$U,19,0)</f>
        <v>65</v>
      </c>
      <c r="E893">
        <f>VLOOKUP(C893,[7]FP!$C:$U,15,0)</f>
        <v>81</v>
      </c>
      <c r="F893">
        <f t="shared" si="38"/>
        <v>-16</v>
      </c>
      <c r="G893">
        <f t="shared" si="37"/>
        <v>-0.19753086419753085</v>
      </c>
      <c r="H893" t="s">
        <v>9</v>
      </c>
    </row>
    <row r="894" spans="1:8">
      <c r="A894">
        <v>2025</v>
      </c>
      <c r="B894">
        <v>2</v>
      </c>
      <c r="C894" t="s">
        <v>31</v>
      </c>
      <c r="D894">
        <f>VLOOKUP(C894,[7]FP!$C:$U,19,0)</f>
        <v>46</v>
      </c>
      <c r="E894">
        <f>VLOOKUP(C894,[7]FP!$C:$U,15,0)</f>
        <v>45</v>
      </c>
      <c r="F894">
        <f t="shared" si="38"/>
        <v>1</v>
      </c>
      <c r="G894">
        <f t="shared" si="37"/>
        <v>2.2222222222222223E-2</v>
      </c>
      <c r="H894" t="s">
        <v>9</v>
      </c>
    </row>
    <row r="895" spans="1:8">
      <c r="A895">
        <v>2025</v>
      </c>
      <c r="B895">
        <v>2</v>
      </c>
      <c r="C895" t="s">
        <v>32</v>
      </c>
      <c r="D895">
        <f>VLOOKUP(C895,[7]FP!$C:$U,19,0)</f>
        <v>73</v>
      </c>
      <c r="E895">
        <f>VLOOKUP(C895,[7]FP!$C:$U,15,0)</f>
        <v>65</v>
      </c>
      <c r="F895">
        <f t="shared" si="38"/>
        <v>8</v>
      </c>
      <c r="G895">
        <f t="shared" si="37"/>
        <v>0.12307692307692308</v>
      </c>
      <c r="H895" t="s">
        <v>9</v>
      </c>
    </row>
    <row r="896" spans="1:8">
      <c r="A896">
        <v>2025</v>
      </c>
      <c r="B896">
        <v>2</v>
      </c>
      <c r="C896" t="s">
        <v>33</v>
      </c>
      <c r="D896">
        <f>VLOOKUP(C896,[7]FP!$C:$U,19,0)</f>
        <v>37</v>
      </c>
      <c r="E896">
        <f>VLOOKUP(C896,[7]FP!$C:$U,15,0)</f>
        <v>33</v>
      </c>
      <c r="F896">
        <f t="shared" si="38"/>
        <v>4</v>
      </c>
      <c r="G896">
        <f t="shared" si="37"/>
        <v>0.12121212121212122</v>
      </c>
      <c r="H896" t="s">
        <v>9</v>
      </c>
    </row>
    <row r="897" spans="1:8">
      <c r="A897">
        <v>2025</v>
      </c>
      <c r="B897">
        <v>2</v>
      </c>
      <c r="C897" t="s">
        <v>35</v>
      </c>
      <c r="D897">
        <f>VLOOKUP(C897,[7]FP!$C:$U,19,0)</f>
        <v>35</v>
      </c>
      <c r="E897">
        <f>VLOOKUP(C897,[7]FP!$C:$U,15,0)</f>
        <v>30</v>
      </c>
      <c r="F897">
        <f t="shared" si="38"/>
        <v>5</v>
      </c>
      <c r="G897">
        <f t="shared" si="37"/>
        <v>0.16666666666666666</v>
      </c>
      <c r="H897" t="s">
        <v>9</v>
      </c>
    </row>
    <row r="898" spans="1:8">
      <c r="A898">
        <v>2025</v>
      </c>
      <c r="B898">
        <v>2</v>
      </c>
      <c r="C898" t="s">
        <v>15</v>
      </c>
      <c r="D898">
        <v>65</v>
      </c>
      <c r="E898">
        <v>64</v>
      </c>
      <c r="F898">
        <f t="shared" si="38"/>
        <v>1</v>
      </c>
      <c r="G898">
        <f>F898/E898</f>
        <v>1.5625E-2</v>
      </c>
      <c r="H898" t="s">
        <v>34</v>
      </c>
    </row>
    <row r="899" spans="1:8">
      <c r="A899">
        <v>2025</v>
      </c>
      <c r="B899">
        <v>3</v>
      </c>
      <c r="C899" t="s">
        <v>10</v>
      </c>
      <c r="D899">
        <f>VLOOKUP(C899,[8]FP!$C:$V,20,0)</f>
        <v>50</v>
      </c>
      <c r="E899">
        <f>VLOOKUP(C899,[8]FP!$C:$V,16,0)</f>
        <v>47</v>
      </c>
      <c r="F899">
        <v>3</v>
      </c>
      <c r="G899">
        <v>6.5217391304347824E-2</v>
      </c>
      <c r="H899" t="s">
        <v>9</v>
      </c>
    </row>
    <row r="900" spans="1:8">
      <c r="A900">
        <v>2025</v>
      </c>
      <c r="B900">
        <v>3</v>
      </c>
      <c r="C900" t="s">
        <v>11</v>
      </c>
      <c r="D900">
        <f>VLOOKUP(C900,[8]FP!$C:$V,20,0)</f>
        <v>49</v>
      </c>
      <c r="E900">
        <f>VLOOKUP(C900,[8]FP!$C:$V,16,0)</f>
        <v>47</v>
      </c>
      <c r="F900">
        <v>2</v>
      </c>
      <c r="G900">
        <v>4.2553191489361701E-2</v>
      </c>
      <c r="H900" t="s">
        <v>9</v>
      </c>
    </row>
    <row r="901" spans="1:8">
      <c r="A901">
        <v>2025</v>
      </c>
      <c r="B901">
        <v>3</v>
      </c>
      <c r="C901" t="s">
        <v>12</v>
      </c>
      <c r="D901">
        <f>VLOOKUP(C901,[8]FP!$C:$V,20,0)</f>
        <v>84</v>
      </c>
      <c r="E901">
        <f>VLOOKUP(C901,[8]FP!$C:$V,16,0)</f>
        <v>70</v>
      </c>
      <c r="F901">
        <v>5</v>
      </c>
      <c r="G901">
        <v>7.2463768115942032E-2</v>
      </c>
      <c r="H901" t="s">
        <v>9</v>
      </c>
    </row>
    <row r="902" spans="1:8">
      <c r="A902">
        <v>2025</v>
      </c>
      <c r="B902">
        <v>3</v>
      </c>
      <c r="C902" t="s">
        <v>13</v>
      </c>
      <c r="D902">
        <f>VLOOKUP(C902,[8]FP!$C:$V,20,0)</f>
        <v>19</v>
      </c>
      <c r="E902">
        <f>VLOOKUP(C902,[8]FP!$C:$V,16,0)</f>
        <v>18</v>
      </c>
      <c r="F902">
        <v>2</v>
      </c>
      <c r="G902">
        <v>0.11764705882352941</v>
      </c>
      <c r="H902" t="s">
        <v>9</v>
      </c>
    </row>
    <row r="903" spans="1:8">
      <c r="A903">
        <v>2025</v>
      </c>
      <c r="B903">
        <v>3</v>
      </c>
      <c r="C903" t="s">
        <v>14</v>
      </c>
      <c r="D903">
        <f>VLOOKUP(C903,[8]FP!$C:$V,20,0)</f>
        <v>249</v>
      </c>
      <c r="E903">
        <f>VLOOKUP(C903,[8]FP!$C:$V,16,0)</f>
        <v>258</v>
      </c>
      <c r="F903">
        <v>0</v>
      </c>
      <c r="G903">
        <v>0</v>
      </c>
      <c r="H903" t="s">
        <v>9</v>
      </c>
    </row>
    <row r="904" spans="1:8">
      <c r="A904">
        <v>2025</v>
      </c>
      <c r="B904">
        <v>3</v>
      </c>
      <c r="C904" t="s">
        <v>15</v>
      </c>
      <c r="D904">
        <v>165</v>
      </c>
      <c r="E904">
        <v>168</v>
      </c>
      <c r="F904">
        <v>-4</v>
      </c>
      <c r="G904">
        <v>-2.4096385542168676E-2</v>
      </c>
      <c r="H904" t="s">
        <v>9</v>
      </c>
    </row>
    <row r="905" spans="1:8">
      <c r="A905">
        <v>2025</v>
      </c>
      <c r="B905">
        <v>3</v>
      </c>
      <c r="C905" t="s">
        <v>16</v>
      </c>
      <c r="D905">
        <f>VLOOKUP(C905,[8]FP!$C:$V,20,0)</f>
        <v>39</v>
      </c>
      <c r="E905">
        <f>VLOOKUP(C905,[8]FP!$C:$V,16,0)</f>
        <v>40</v>
      </c>
      <c r="F905">
        <v>0</v>
      </c>
      <c r="G905">
        <v>0</v>
      </c>
      <c r="H905" t="s">
        <v>9</v>
      </c>
    </row>
    <row r="906" spans="1:8">
      <c r="A906">
        <v>2025</v>
      </c>
      <c r="B906">
        <v>3</v>
      </c>
      <c r="C906" t="s">
        <v>17</v>
      </c>
      <c r="D906">
        <f>VLOOKUP(C906,[8]FP!$C:$V,20,0)</f>
        <v>45</v>
      </c>
      <c r="E906">
        <f>VLOOKUP(C906,[8]FP!$C:$V,16,0)</f>
        <v>45</v>
      </c>
      <c r="F906">
        <v>3</v>
      </c>
      <c r="G906">
        <v>6.9767441860465115E-2</v>
      </c>
      <c r="H906" t="s">
        <v>9</v>
      </c>
    </row>
    <row r="907" spans="1:8">
      <c r="A907">
        <v>2025</v>
      </c>
      <c r="B907">
        <v>3</v>
      </c>
      <c r="C907" t="s">
        <v>18</v>
      </c>
      <c r="D907">
        <f>VLOOKUP(C907,[8]FP!$C:$V,20,0)</f>
        <v>59</v>
      </c>
      <c r="E907">
        <f>VLOOKUP(C907,[8]FP!$C:$V,16,0)</f>
        <v>58</v>
      </c>
      <c r="F907">
        <v>1</v>
      </c>
      <c r="G907">
        <v>1.7241379310344827E-2</v>
      </c>
      <c r="H907" t="s">
        <v>9</v>
      </c>
    </row>
    <row r="908" spans="1:8">
      <c r="A908">
        <v>2025</v>
      </c>
      <c r="B908">
        <v>3</v>
      </c>
      <c r="C908" t="s">
        <v>19</v>
      </c>
      <c r="D908">
        <f>VLOOKUP(C908,[8]FP!$C:$V,20,0)</f>
        <v>80</v>
      </c>
      <c r="E908">
        <f>VLOOKUP(C908,[8]FP!$C:$V,16,0)</f>
        <v>86</v>
      </c>
      <c r="F908">
        <v>0</v>
      </c>
      <c r="G908">
        <v>0</v>
      </c>
      <c r="H908" t="s">
        <v>9</v>
      </c>
    </row>
    <row r="909" spans="1:8">
      <c r="A909">
        <v>2025</v>
      </c>
      <c r="B909">
        <v>3</v>
      </c>
      <c r="C909" t="s">
        <v>20</v>
      </c>
      <c r="D909">
        <f>VLOOKUP(C909,[8]FP!$C:$V,20,0)</f>
        <v>32</v>
      </c>
      <c r="E909">
        <f>VLOOKUP(C909,[8]FP!$C:$V,16,0)</f>
        <v>34</v>
      </c>
      <c r="F909">
        <v>2</v>
      </c>
      <c r="G909">
        <v>6.25E-2</v>
      </c>
      <c r="H909" t="s">
        <v>9</v>
      </c>
    </row>
    <row r="910" spans="1:8">
      <c r="A910">
        <v>2025</v>
      </c>
      <c r="B910">
        <v>3</v>
      </c>
      <c r="C910" t="s">
        <v>21</v>
      </c>
      <c r="D910">
        <f>VLOOKUP(C910,[8]FP!$C:$V,20,0)</f>
        <v>110</v>
      </c>
      <c r="E910">
        <f>VLOOKUP(C910,[8]FP!$C:$V,16,0)</f>
        <v>112</v>
      </c>
      <c r="F910">
        <v>2</v>
      </c>
      <c r="G910">
        <v>1.7857142857142856E-2</v>
      </c>
      <c r="H910" t="s">
        <v>9</v>
      </c>
    </row>
    <row r="911" spans="1:8">
      <c r="A911">
        <v>2025</v>
      </c>
      <c r="B911">
        <v>3</v>
      </c>
      <c r="C911" t="s">
        <v>22</v>
      </c>
      <c r="D911">
        <f>VLOOKUP(C911,[8]FP!$C:$V,20,0)</f>
        <v>16</v>
      </c>
      <c r="E911">
        <f>VLOOKUP(C911,[8]FP!$C:$V,16,0)</f>
        <v>22</v>
      </c>
      <c r="F911">
        <v>-4</v>
      </c>
      <c r="G911">
        <v>-0.18181818181818182</v>
      </c>
      <c r="H911" t="s">
        <v>9</v>
      </c>
    </row>
    <row r="912" spans="1:8">
      <c r="A912">
        <v>2025</v>
      </c>
      <c r="B912">
        <v>3</v>
      </c>
      <c r="C912" t="s">
        <v>23</v>
      </c>
      <c r="D912">
        <f>VLOOKUP(C912,[8]FP!$C:$V,20,0)</f>
        <v>40</v>
      </c>
      <c r="E912">
        <f>VLOOKUP(C912,[8]FP!$C:$V,16,0)</f>
        <v>38</v>
      </c>
      <c r="F912">
        <v>3</v>
      </c>
      <c r="G912">
        <v>8.5714285714285715E-2</v>
      </c>
      <c r="H912" t="s">
        <v>9</v>
      </c>
    </row>
    <row r="913" spans="1:8">
      <c r="A913">
        <v>2025</v>
      </c>
      <c r="B913">
        <v>3</v>
      </c>
      <c r="C913" t="s">
        <v>24</v>
      </c>
      <c r="D913">
        <f>VLOOKUP(C913,[8]FP!$C:$V,20,0)</f>
        <v>68</v>
      </c>
      <c r="E913">
        <f>VLOOKUP(C913,[8]FP!$C:$V,16,0)</f>
        <v>67</v>
      </c>
      <c r="F913">
        <v>3</v>
      </c>
      <c r="G913">
        <v>4.6153846153846156E-2</v>
      </c>
      <c r="H913" t="s">
        <v>9</v>
      </c>
    </row>
    <row r="914" spans="1:8">
      <c r="A914">
        <v>2025</v>
      </c>
      <c r="B914">
        <v>3</v>
      </c>
      <c r="C914" t="s">
        <v>25</v>
      </c>
      <c r="D914">
        <f>VLOOKUP(C914,[8]FP!$C:$V,20,0)</f>
        <v>60</v>
      </c>
      <c r="E914">
        <f>VLOOKUP(C914,[8]FP!$C:$V,16,0)</f>
        <v>76</v>
      </c>
      <c r="F914">
        <v>-18</v>
      </c>
      <c r="G914">
        <v>-0.23376623376623376</v>
      </c>
      <c r="H914" t="s">
        <v>9</v>
      </c>
    </row>
    <row r="915" spans="1:8">
      <c r="A915">
        <v>2025</v>
      </c>
      <c r="B915">
        <v>3</v>
      </c>
      <c r="C915" t="s">
        <v>26</v>
      </c>
      <c r="D915">
        <f>VLOOKUP(C915,[8]FP!$C:$V,20,0)</f>
        <v>53</v>
      </c>
      <c r="E915">
        <f>VLOOKUP(C915,[8]FP!$C:$V,16,0)</f>
        <v>51</v>
      </c>
      <c r="F915">
        <v>-4</v>
      </c>
      <c r="G915">
        <v>-6.7796610169491525E-2</v>
      </c>
      <c r="H915" t="s">
        <v>9</v>
      </c>
    </row>
    <row r="916" spans="1:8">
      <c r="A916">
        <v>2025</v>
      </c>
      <c r="B916">
        <v>3</v>
      </c>
      <c r="C916" t="s">
        <v>27</v>
      </c>
      <c r="D916">
        <f>VLOOKUP(C916,[8]FP!$C:$V,20,0)</f>
        <v>100</v>
      </c>
      <c r="E916">
        <f>VLOOKUP(C916,[8]FP!$C:$V,16,0)</f>
        <v>112</v>
      </c>
      <c r="F916">
        <v>-2</v>
      </c>
      <c r="G916">
        <v>-1.834862385321101E-2</v>
      </c>
      <c r="H916" t="s">
        <v>9</v>
      </c>
    </row>
    <row r="917" spans="1:8">
      <c r="A917">
        <v>2025</v>
      </c>
      <c r="B917">
        <v>3</v>
      </c>
      <c r="C917" t="s">
        <v>28</v>
      </c>
      <c r="D917">
        <f>VLOOKUP(C917,[8]FP!$C:$V,20,0)</f>
        <v>38</v>
      </c>
      <c r="E917">
        <f>VLOOKUP(C917,[8]FP!$C:$V,16,0)</f>
        <v>35</v>
      </c>
      <c r="F917">
        <v>-1</v>
      </c>
      <c r="G917">
        <v>-2.7777777777777776E-2</v>
      </c>
      <c r="H917" t="s">
        <v>9</v>
      </c>
    </row>
    <row r="918" spans="1:8">
      <c r="A918">
        <v>2025</v>
      </c>
      <c r="B918">
        <v>3</v>
      </c>
      <c r="C918" t="s">
        <v>29</v>
      </c>
      <c r="D918">
        <f>VLOOKUP(C918,[8]FP!$C:$V,20,0)</f>
        <v>50</v>
      </c>
      <c r="E918">
        <f>VLOOKUP(C918,[8]FP!$C:$V,16,0)</f>
        <v>47</v>
      </c>
      <c r="F918">
        <v>3</v>
      </c>
      <c r="G918">
        <v>6.5217391304347824E-2</v>
      </c>
      <c r="H918" t="s">
        <v>9</v>
      </c>
    </row>
    <row r="919" spans="1:8">
      <c r="A919">
        <v>2025</v>
      </c>
      <c r="B919">
        <v>3</v>
      </c>
      <c r="C919" t="s">
        <v>30</v>
      </c>
      <c r="D919">
        <f>VLOOKUP(C919,[8]FP!$C:$V,20,0)</f>
        <v>65</v>
      </c>
      <c r="E919">
        <f>VLOOKUP(C919,[8]FP!$C:$V,16,0)</f>
        <v>80</v>
      </c>
      <c r="F919">
        <v>-16</v>
      </c>
      <c r="G919">
        <v>-0.19753086419753085</v>
      </c>
      <c r="H919" t="s">
        <v>9</v>
      </c>
    </row>
    <row r="920" spans="1:8">
      <c r="A920">
        <v>2025</v>
      </c>
      <c r="B920">
        <v>3</v>
      </c>
      <c r="C920" t="s">
        <v>31</v>
      </c>
      <c r="D920">
        <f>VLOOKUP(C920,[8]FP!$C:$V,20,0)</f>
        <v>48</v>
      </c>
      <c r="E920">
        <f>VLOOKUP(C920,[8]FP!$C:$V,16,0)</f>
        <v>45</v>
      </c>
      <c r="F920">
        <v>1</v>
      </c>
      <c r="G920">
        <v>2.2222222222222223E-2</v>
      </c>
      <c r="H920" t="s">
        <v>9</v>
      </c>
    </row>
    <row r="921" spans="1:8">
      <c r="A921">
        <v>2025</v>
      </c>
      <c r="B921">
        <v>3</v>
      </c>
      <c r="C921" t="s">
        <v>32</v>
      </c>
      <c r="D921">
        <f>VLOOKUP(C921,[8]FP!$C:$V,20,0)</f>
        <v>73</v>
      </c>
      <c r="E921">
        <f>VLOOKUP(C921,[8]FP!$C:$V,16,0)</f>
        <v>71</v>
      </c>
      <c r="F921">
        <v>8</v>
      </c>
      <c r="G921">
        <v>0.12307692307692308</v>
      </c>
      <c r="H921" t="s">
        <v>9</v>
      </c>
    </row>
    <row r="922" spans="1:8">
      <c r="A922">
        <v>2025</v>
      </c>
      <c r="B922">
        <v>3</v>
      </c>
      <c r="C922" t="s">
        <v>33</v>
      </c>
      <c r="D922">
        <f>VLOOKUP(C922,[8]FP!$C:$V,20,0)</f>
        <v>36</v>
      </c>
      <c r="E922">
        <f>VLOOKUP(C922,[8]FP!$C:$V,16,0)</f>
        <v>34</v>
      </c>
      <c r="F922">
        <v>4</v>
      </c>
      <c r="G922">
        <v>0.12121212121212122</v>
      </c>
      <c r="H922" t="s">
        <v>9</v>
      </c>
    </row>
    <row r="923" spans="1:8">
      <c r="A923">
        <v>2025</v>
      </c>
      <c r="B923">
        <v>3</v>
      </c>
      <c r="C923" t="s">
        <v>35</v>
      </c>
      <c r="D923">
        <f>VLOOKUP(C923,[8]FP!$C:$V,20,0)</f>
        <v>37</v>
      </c>
      <c r="E923">
        <f>VLOOKUP(C923,[8]FP!$C:$V,16,0)</f>
        <v>30</v>
      </c>
      <c r="F923">
        <v>5</v>
      </c>
      <c r="G923">
        <v>0.16666666666666666</v>
      </c>
      <c r="H923" t="s">
        <v>9</v>
      </c>
    </row>
    <row r="924" spans="1:8">
      <c r="A924">
        <v>2025</v>
      </c>
      <c r="B924">
        <v>3</v>
      </c>
      <c r="C924" t="s">
        <v>15</v>
      </c>
      <c r="D924">
        <v>66</v>
      </c>
      <c r="E924">
        <v>64</v>
      </c>
      <c r="F924">
        <v>1</v>
      </c>
      <c r="G924">
        <v>1.5625E-2</v>
      </c>
      <c r="H924" t="s">
        <v>34</v>
      </c>
    </row>
    <row r="925" spans="1:8">
      <c r="A925">
        <v>2025</v>
      </c>
      <c r="B925">
        <v>4</v>
      </c>
      <c r="C925" t="s">
        <v>10</v>
      </c>
      <c r="D925">
        <f>VLOOKUP(C925,[8]FP!$C:$V,20,0)</f>
        <v>50</v>
      </c>
      <c r="E925">
        <f>VLOOKUP(C925,[8]FP!$C:$V,16,0)</f>
        <v>47</v>
      </c>
      <c r="F925">
        <v>3</v>
      </c>
      <c r="G925">
        <v>6.5217391304347824E-2</v>
      </c>
      <c r="H925" t="s">
        <v>9</v>
      </c>
    </row>
    <row r="926" spans="1:8">
      <c r="A926">
        <v>2025</v>
      </c>
      <c r="B926">
        <v>4</v>
      </c>
      <c r="C926" t="s">
        <v>11</v>
      </c>
      <c r="D926">
        <f>VLOOKUP(C926,[8]FP!$C:$V,20,0)</f>
        <v>49</v>
      </c>
      <c r="E926">
        <f>VLOOKUP(C926,[8]FP!$C:$V,16,0)</f>
        <v>47</v>
      </c>
      <c r="F926">
        <v>2</v>
      </c>
      <c r="G926">
        <v>4.2553191489361701E-2</v>
      </c>
      <c r="H926" t="s">
        <v>9</v>
      </c>
    </row>
    <row r="927" spans="1:8">
      <c r="A927">
        <v>2025</v>
      </c>
      <c r="B927">
        <v>4</v>
      </c>
      <c r="C927" t="s">
        <v>12</v>
      </c>
      <c r="D927">
        <f>VLOOKUP(C927,[8]FP!$C:$V,20,0)</f>
        <v>84</v>
      </c>
      <c r="E927">
        <f>VLOOKUP(C927,[8]FP!$C:$V,16,0)</f>
        <v>70</v>
      </c>
      <c r="F927">
        <v>5</v>
      </c>
      <c r="G927">
        <v>7.2463768115942032E-2</v>
      </c>
      <c r="H927" t="s">
        <v>9</v>
      </c>
    </row>
    <row r="928" spans="1:8">
      <c r="A928">
        <v>2025</v>
      </c>
      <c r="B928">
        <v>4</v>
      </c>
      <c r="C928" t="s">
        <v>13</v>
      </c>
      <c r="D928">
        <f>VLOOKUP(C928,[8]FP!$C:$V,20,0)</f>
        <v>19</v>
      </c>
      <c r="E928">
        <f>VLOOKUP(C928,[8]FP!$C:$V,16,0)</f>
        <v>18</v>
      </c>
      <c r="F928">
        <v>2</v>
      </c>
      <c r="G928">
        <v>0.11764705882352941</v>
      </c>
      <c r="H928" t="s">
        <v>9</v>
      </c>
    </row>
    <row r="929" spans="1:8">
      <c r="A929">
        <v>2025</v>
      </c>
      <c r="B929">
        <v>4</v>
      </c>
      <c r="C929" t="s">
        <v>14</v>
      </c>
      <c r="D929">
        <f>VLOOKUP(C929,[8]FP!$C:$V,20,0)</f>
        <v>249</v>
      </c>
      <c r="E929">
        <f>VLOOKUP(C929,[8]FP!$C:$V,16,0)</f>
        <v>258</v>
      </c>
      <c r="F929">
        <v>0</v>
      </c>
      <c r="G929">
        <v>0</v>
      </c>
      <c r="H929" t="s">
        <v>9</v>
      </c>
    </row>
    <row r="930" spans="1:8">
      <c r="A930">
        <v>2025</v>
      </c>
      <c r="B930">
        <v>4</v>
      </c>
      <c r="C930" t="s">
        <v>15</v>
      </c>
      <c r="D930">
        <v>165</v>
      </c>
      <c r="E930">
        <v>168</v>
      </c>
      <c r="F930">
        <v>-4</v>
      </c>
      <c r="G930">
        <v>-2.4096385542168676E-2</v>
      </c>
      <c r="H930" t="s">
        <v>9</v>
      </c>
    </row>
    <row r="931" spans="1:8">
      <c r="A931">
        <v>2025</v>
      </c>
      <c r="B931">
        <v>4</v>
      </c>
      <c r="C931" t="s">
        <v>16</v>
      </c>
      <c r="D931">
        <f>VLOOKUP(C931,[8]FP!$C:$V,20,0)</f>
        <v>39</v>
      </c>
      <c r="E931">
        <f>VLOOKUP(C931,[8]FP!$C:$V,16,0)</f>
        <v>40</v>
      </c>
      <c r="F931">
        <v>0</v>
      </c>
      <c r="G931">
        <v>0</v>
      </c>
      <c r="H931" t="s">
        <v>9</v>
      </c>
    </row>
    <row r="932" spans="1:8">
      <c r="A932">
        <v>2025</v>
      </c>
      <c r="B932">
        <v>4</v>
      </c>
      <c r="C932" t="s">
        <v>17</v>
      </c>
      <c r="D932">
        <f>VLOOKUP(C932,[8]FP!$C:$V,20,0)</f>
        <v>45</v>
      </c>
      <c r="E932">
        <f>VLOOKUP(C932,[8]FP!$C:$V,16,0)</f>
        <v>45</v>
      </c>
      <c r="F932">
        <v>3</v>
      </c>
      <c r="G932">
        <v>6.9767441860465115E-2</v>
      </c>
      <c r="H932" t="s">
        <v>9</v>
      </c>
    </row>
    <row r="933" spans="1:8">
      <c r="A933">
        <v>2025</v>
      </c>
      <c r="B933">
        <v>4</v>
      </c>
      <c r="C933" t="s">
        <v>18</v>
      </c>
      <c r="D933">
        <f>VLOOKUP(C933,[8]FP!$C:$V,20,0)</f>
        <v>59</v>
      </c>
      <c r="E933">
        <f>VLOOKUP(C933,[8]FP!$C:$V,16,0)</f>
        <v>58</v>
      </c>
      <c r="F933">
        <v>1</v>
      </c>
      <c r="G933">
        <v>1.7241379310344827E-2</v>
      </c>
      <c r="H933" t="s">
        <v>9</v>
      </c>
    </row>
    <row r="934" spans="1:8">
      <c r="A934">
        <v>2025</v>
      </c>
      <c r="B934">
        <v>4</v>
      </c>
      <c r="C934" t="s">
        <v>19</v>
      </c>
      <c r="D934">
        <f>VLOOKUP(C934,[8]FP!$C:$V,20,0)</f>
        <v>80</v>
      </c>
      <c r="E934">
        <f>VLOOKUP(C934,[8]FP!$C:$V,16,0)</f>
        <v>86</v>
      </c>
      <c r="F934">
        <v>0</v>
      </c>
      <c r="G934">
        <v>0</v>
      </c>
      <c r="H934" t="s">
        <v>9</v>
      </c>
    </row>
    <row r="935" spans="1:8">
      <c r="A935">
        <v>2025</v>
      </c>
      <c r="B935">
        <v>4</v>
      </c>
      <c r="C935" t="s">
        <v>20</v>
      </c>
      <c r="D935">
        <f>VLOOKUP(C935,[8]FP!$C:$V,20,0)</f>
        <v>32</v>
      </c>
      <c r="E935">
        <f>VLOOKUP(C935,[8]FP!$C:$V,16,0)</f>
        <v>34</v>
      </c>
      <c r="F935">
        <v>2</v>
      </c>
      <c r="G935">
        <v>6.25E-2</v>
      </c>
      <c r="H935" t="s">
        <v>9</v>
      </c>
    </row>
    <row r="936" spans="1:8">
      <c r="A936">
        <v>2025</v>
      </c>
      <c r="B936">
        <v>4</v>
      </c>
      <c r="C936" t="s">
        <v>21</v>
      </c>
      <c r="D936">
        <f>VLOOKUP(C936,[8]FP!$C:$V,20,0)</f>
        <v>110</v>
      </c>
      <c r="E936">
        <f>VLOOKUP(C936,[8]FP!$C:$V,16,0)</f>
        <v>112</v>
      </c>
      <c r="F936">
        <v>2</v>
      </c>
      <c r="G936">
        <v>1.7857142857142856E-2</v>
      </c>
      <c r="H936" t="s">
        <v>9</v>
      </c>
    </row>
    <row r="937" spans="1:8">
      <c r="A937">
        <v>2025</v>
      </c>
      <c r="B937">
        <v>4</v>
      </c>
      <c r="C937" t="s">
        <v>22</v>
      </c>
      <c r="D937">
        <f>VLOOKUP(C937,[8]FP!$C:$V,20,0)</f>
        <v>16</v>
      </c>
      <c r="E937">
        <f>VLOOKUP(C937,[8]FP!$C:$V,16,0)</f>
        <v>22</v>
      </c>
      <c r="F937">
        <v>-4</v>
      </c>
      <c r="G937">
        <v>-0.18181818181818182</v>
      </c>
      <c r="H937" t="s">
        <v>9</v>
      </c>
    </row>
    <row r="938" spans="1:8">
      <c r="A938">
        <v>2025</v>
      </c>
      <c r="B938">
        <v>4</v>
      </c>
      <c r="C938" t="s">
        <v>23</v>
      </c>
      <c r="D938">
        <f>VLOOKUP(C938,[8]FP!$C:$V,20,0)</f>
        <v>40</v>
      </c>
      <c r="E938">
        <f>VLOOKUP(C938,[8]FP!$C:$V,16,0)</f>
        <v>38</v>
      </c>
      <c r="F938">
        <v>3</v>
      </c>
      <c r="G938">
        <v>8.5714285714285715E-2</v>
      </c>
      <c r="H938" t="s">
        <v>9</v>
      </c>
    </row>
    <row r="939" spans="1:8">
      <c r="A939">
        <v>2025</v>
      </c>
      <c r="B939">
        <v>4</v>
      </c>
      <c r="C939" t="s">
        <v>24</v>
      </c>
      <c r="D939">
        <f>VLOOKUP(C939,[8]FP!$C:$V,20,0)</f>
        <v>68</v>
      </c>
      <c r="E939">
        <f>VLOOKUP(C939,[8]FP!$C:$V,16,0)</f>
        <v>67</v>
      </c>
      <c r="F939">
        <v>3</v>
      </c>
      <c r="G939">
        <v>4.6153846153846156E-2</v>
      </c>
      <c r="H939" t="s">
        <v>9</v>
      </c>
    </row>
    <row r="940" spans="1:8">
      <c r="A940">
        <v>2025</v>
      </c>
      <c r="B940">
        <v>4</v>
      </c>
      <c r="C940" t="s">
        <v>25</v>
      </c>
      <c r="D940">
        <f>VLOOKUP(C940,[8]FP!$C:$V,20,0)</f>
        <v>60</v>
      </c>
      <c r="E940">
        <f>VLOOKUP(C940,[8]FP!$C:$V,16,0)</f>
        <v>76</v>
      </c>
      <c r="F940">
        <v>-18</v>
      </c>
      <c r="G940">
        <v>-0.23376623376623376</v>
      </c>
      <c r="H940" t="s">
        <v>9</v>
      </c>
    </row>
    <row r="941" spans="1:8">
      <c r="A941">
        <v>2025</v>
      </c>
      <c r="B941">
        <v>4</v>
      </c>
      <c r="C941" t="s">
        <v>26</v>
      </c>
      <c r="D941">
        <f>VLOOKUP(C941,[8]FP!$C:$V,20,0)</f>
        <v>53</v>
      </c>
      <c r="E941">
        <f>VLOOKUP(C941,[8]FP!$C:$V,16,0)</f>
        <v>51</v>
      </c>
      <c r="F941">
        <v>-4</v>
      </c>
      <c r="G941">
        <v>-6.7796610169491525E-2</v>
      </c>
      <c r="H941" t="s">
        <v>9</v>
      </c>
    </row>
    <row r="942" spans="1:8">
      <c r="A942">
        <v>2025</v>
      </c>
      <c r="B942">
        <v>4</v>
      </c>
      <c r="C942" t="s">
        <v>27</v>
      </c>
      <c r="D942">
        <f>VLOOKUP(C942,[8]FP!$C:$V,20,0)</f>
        <v>100</v>
      </c>
      <c r="E942">
        <f>VLOOKUP(C942,[8]FP!$C:$V,16,0)</f>
        <v>112</v>
      </c>
      <c r="F942">
        <v>-2</v>
      </c>
      <c r="G942">
        <v>-1.834862385321101E-2</v>
      </c>
      <c r="H942" t="s">
        <v>9</v>
      </c>
    </row>
    <row r="943" spans="1:8">
      <c r="A943">
        <v>2025</v>
      </c>
      <c r="B943">
        <v>4</v>
      </c>
      <c r="C943" t="s">
        <v>28</v>
      </c>
      <c r="D943">
        <f>VLOOKUP(C943,[8]FP!$C:$V,20,0)</f>
        <v>38</v>
      </c>
      <c r="E943">
        <f>VLOOKUP(C943,[8]FP!$C:$V,16,0)</f>
        <v>35</v>
      </c>
      <c r="F943">
        <v>-1</v>
      </c>
      <c r="G943">
        <v>-2.7777777777777776E-2</v>
      </c>
      <c r="H943" t="s">
        <v>9</v>
      </c>
    </row>
    <row r="944" spans="1:8">
      <c r="A944">
        <v>2025</v>
      </c>
      <c r="B944">
        <v>4</v>
      </c>
      <c r="C944" t="s">
        <v>29</v>
      </c>
      <c r="D944">
        <f>VLOOKUP(C944,[8]FP!$C:$V,20,0)</f>
        <v>50</v>
      </c>
      <c r="E944">
        <f>VLOOKUP(C944,[8]FP!$C:$V,16,0)</f>
        <v>47</v>
      </c>
      <c r="F944">
        <v>3</v>
      </c>
      <c r="G944">
        <v>6.5217391304347824E-2</v>
      </c>
      <c r="H944" t="s">
        <v>9</v>
      </c>
    </row>
    <row r="945" spans="1:8">
      <c r="A945">
        <v>2025</v>
      </c>
      <c r="B945">
        <v>4</v>
      </c>
      <c r="C945" t="s">
        <v>30</v>
      </c>
      <c r="D945">
        <f>VLOOKUP(C945,[8]FP!$C:$V,20,0)</f>
        <v>65</v>
      </c>
      <c r="E945">
        <f>VLOOKUP(C945,[8]FP!$C:$V,16,0)</f>
        <v>80</v>
      </c>
      <c r="F945">
        <v>-16</v>
      </c>
      <c r="G945">
        <v>-0.19753086419753085</v>
      </c>
      <c r="H945" t="s">
        <v>9</v>
      </c>
    </row>
    <row r="946" spans="1:8">
      <c r="A946">
        <v>2025</v>
      </c>
      <c r="B946">
        <v>4</v>
      </c>
      <c r="C946" t="s">
        <v>31</v>
      </c>
      <c r="D946">
        <f>VLOOKUP(C946,[8]FP!$C:$V,20,0)</f>
        <v>48</v>
      </c>
      <c r="E946">
        <f>VLOOKUP(C946,[8]FP!$C:$V,16,0)</f>
        <v>45</v>
      </c>
      <c r="F946">
        <v>1</v>
      </c>
      <c r="G946">
        <v>2.2222222222222223E-2</v>
      </c>
      <c r="H946" t="s">
        <v>9</v>
      </c>
    </row>
    <row r="947" spans="1:8">
      <c r="A947">
        <v>2025</v>
      </c>
      <c r="B947">
        <v>4</v>
      </c>
      <c r="C947" t="s">
        <v>32</v>
      </c>
      <c r="D947">
        <f>VLOOKUP(C947,[8]FP!$C:$V,20,0)</f>
        <v>73</v>
      </c>
      <c r="E947">
        <f>VLOOKUP(C947,[8]FP!$C:$V,16,0)</f>
        <v>71</v>
      </c>
      <c r="F947">
        <v>8</v>
      </c>
      <c r="G947">
        <v>0.12307692307692308</v>
      </c>
      <c r="H947" t="s">
        <v>9</v>
      </c>
    </row>
    <row r="948" spans="1:8">
      <c r="A948">
        <v>2025</v>
      </c>
      <c r="B948">
        <v>4</v>
      </c>
      <c r="C948" t="s">
        <v>33</v>
      </c>
      <c r="D948">
        <f>VLOOKUP(C948,[8]FP!$C:$V,20,0)</f>
        <v>36</v>
      </c>
      <c r="E948">
        <f>VLOOKUP(C948,[8]FP!$C:$V,16,0)</f>
        <v>34</v>
      </c>
      <c r="F948">
        <v>4</v>
      </c>
      <c r="G948">
        <v>0.12121212121212122</v>
      </c>
      <c r="H948" t="s">
        <v>9</v>
      </c>
    </row>
    <row r="949" spans="1:8">
      <c r="A949">
        <v>2025</v>
      </c>
      <c r="B949">
        <v>4</v>
      </c>
      <c r="C949" t="s">
        <v>35</v>
      </c>
      <c r="D949">
        <f>VLOOKUP(C949,[8]FP!$C:$V,20,0)</f>
        <v>37</v>
      </c>
      <c r="E949">
        <f>VLOOKUP(C949,[8]FP!$C:$V,16,0)</f>
        <v>30</v>
      </c>
      <c r="F949">
        <v>5</v>
      </c>
      <c r="G949">
        <v>0.16666666666666666</v>
      </c>
      <c r="H949" t="s">
        <v>9</v>
      </c>
    </row>
    <row r="950" spans="1:8">
      <c r="A950">
        <v>2025</v>
      </c>
      <c r="B950">
        <v>4</v>
      </c>
      <c r="C950" t="s">
        <v>15</v>
      </c>
      <c r="D950">
        <v>66</v>
      </c>
      <c r="E950">
        <v>64</v>
      </c>
      <c r="F950">
        <v>1</v>
      </c>
      <c r="G950">
        <v>1.5625E-2</v>
      </c>
      <c r="H950" t="s">
        <v>34</v>
      </c>
    </row>
    <row r="951" spans="1:8">
      <c r="A951">
        <v>2025</v>
      </c>
      <c r="B951">
        <v>5</v>
      </c>
      <c r="C951" t="s">
        <v>10</v>
      </c>
      <c r="D951">
        <f>VLOOKUP(C951,[8]FP!$C:$V,20,0)</f>
        <v>50</v>
      </c>
      <c r="E951">
        <f>VLOOKUP(C951,[8]FP!$C:$V,16,0)</f>
        <v>47</v>
      </c>
      <c r="F951">
        <v>3</v>
      </c>
      <c r="G951">
        <v>6.5217391304347824E-2</v>
      </c>
      <c r="H951" t="s">
        <v>9</v>
      </c>
    </row>
    <row r="952" spans="1:8">
      <c r="A952">
        <v>2025</v>
      </c>
      <c r="B952">
        <v>5</v>
      </c>
      <c r="C952" t="s">
        <v>11</v>
      </c>
      <c r="D952">
        <f>VLOOKUP(C952,[8]FP!$C:$V,20,0)</f>
        <v>49</v>
      </c>
      <c r="E952">
        <f>VLOOKUP(C952,[8]FP!$C:$V,16,0)</f>
        <v>47</v>
      </c>
      <c r="F952">
        <v>2</v>
      </c>
      <c r="G952">
        <v>4.2553191489361701E-2</v>
      </c>
      <c r="H952" t="s">
        <v>9</v>
      </c>
    </row>
    <row r="953" spans="1:8">
      <c r="A953">
        <v>2025</v>
      </c>
      <c r="B953">
        <v>5</v>
      </c>
      <c r="C953" t="s">
        <v>12</v>
      </c>
      <c r="D953">
        <f>VLOOKUP(C953,[8]FP!$C:$V,20,0)</f>
        <v>84</v>
      </c>
      <c r="E953">
        <f>VLOOKUP(C953,[8]FP!$C:$V,16,0)</f>
        <v>70</v>
      </c>
      <c r="F953">
        <v>5</v>
      </c>
      <c r="G953">
        <v>7.2463768115942032E-2</v>
      </c>
      <c r="H953" t="s">
        <v>9</v>
      </c>
    </row>
    <row r="954" spans="1:8">
      <c r="A954">
        <v>2025</v>
      </c>
      <c r="B954">
        <v>5</v>
      </c>
      <c r="C954" t="s">
        <v>13</v>
      </c>
      <c r="D954">
        <f>VLOOKUP(C954,[8]FP!$C:$V,20,0)</f>
        <v>19</v>
      </c>
      <c r="E954">
        <f>VLOOKUP(C954,[8]FP!$C:$V,16,0)</f>
        <v>18</v>
      </c>
      <c r="F954">
        <v>2</v>
      </c>
      <c r="G954">
        <v>0.11764705882352941</v>
      </c>
      <c r="H954" t="s">
        <v>9</v>
      </c>
    </row>
    <row r="955" spans="1:8">
      <c r="A955">
        <v>2025</v>
      </c>
      <c r="B955">
        <v>5</v>
      </c>
      <c r="C955" t="s">
        <v>14</v>
      </c>
      <c r="D955">
        <f>VLOOKUP(C955,[8]FP!$C:$V,20,0)</f>
        <v>249</v>
      </c>
      <c r="E955">
        <f>VLOOKUP(C955,[8]FP!$C:$V,16,0)</f>
        <v>258</v>
      </c>
      <c r="F955">
        <v>0</v>
      </c>
      <c r="G955">
        <v>0</v>
      </c>
      <c r="H955" t="s">
        <v>9</v>
      </c>
    </row>
    <row r="956" spans="1:8">
      <c r="A956">
        <v>2025</v>
      </c>
      <c r="B956">
        <v>5</v>
      </c>
      <c r="C956" t="s">
        <v>15</v>
      </c>
      <c r="D956">
        <v>165</v>
      </c>
      <c r="E956">
        <v>168</v>
      </c>
      <c r="F956">
        <v>-4</v>
      </c>
      <c r="G956">
        <v>-2.4096385542168676E-2</v>
      </c>
      <c r="H956" t="s">
        <v>9</v>
      </c>
    </row>
    <row r="957" spans="1:8">
      <c r="A957">
        <v>2025</v>
      </c>
      <c r="B957">
        <v>5</v>
      </c>
      <c r="C957" t="s">
        <v>16</v>
      </c>
      <c r="D957">
        <f>VLOOKUP(C957,[8]FP!$C:$V,20,0)</f>
        <v>39</v>
      </c>
      <c r="E957">
        <f>VLOOKUP(C957,[8]FP!$C:$V,16,0)</f>
        <v>40</v>
      </c>
      <c r="F957">
        <v>0</v>
      </c>
      <c r="G957">
        <v>0</v>
      </c>
      <c r="H957" t="s">
        <v>9</v>
      </c>
    </row>
    <row r="958" spans="1:8">
      <c r="A958">
        <v>2025</v>
      </c>
      <c r="B958">
        <v>5</v>
      </c>
      <c r="C958" t="s">
        <v>17</v>
      </c>
      <c r="D958">
        <f>VLOOKUP(C958,[8]FP!$C:$V,20,0)</f>
        <v>45</v>
      </c>
      <c r="E958">
        <f>VLOOKUP(C958,[8]FP!$C:$V,16,0)</f>
        <v>45</v>
      </c>
      <c r="F958">
        <v>3</v>
      </c>
      <c r="G958">
        <v>6.9767441860465115E-2</v>
      </c>
      <c r="H958" t="s">
        <v>9</v>
      </c>
    </row>
    <row r="959" spans="1:8">
      <c r="A959">
        <v>2025</v>
      </c>
      <c r="B959">
        <v>5</v>
      </c>
      <c r="C959" t="s">
        <v>18</v>
      </c>
      <c r="D959">
        <f>VLOOKUP(C959,[8]FP!$C:$V,20,0)</f>
        <v>59</v>
      </c>
      <c r="E959">
        <f>VLOOKUP(C959,[8]FP!$C:$V,16,0)</f>
        <v>58</v>
      </c>
      <c r="F959">
        <v>1</v>
      </c>
      <c r="G959">
        <v>1.7241379310344827E-2</v>
      </c>
      <c r="H959" t="s">
        <v>9</v>
      </c>
    </row>
    <row r="960" spans="1:8">
      <c r="A960">
        <v>2025</v>
      </c>
      <c r="B960">
        <v>5</v>
      </c>
      <c r="C960" t="s">
        <v>19</v>
      </c>
      <c r="D960">
        <f>VLOOKUP(C960,[8]FP!$C:$V,20,0)</f>
        <v>80</v>
      </c>
      <c r="E960">
        <f>VLOOKUP(C960,[8]FP!$C:$V,16,0)</f>
        <v>86</v>
      </c>
      <c r="F960">
        <v>0</v>
      </c>
      <c r="G960">
        <v>0</v>
      </c>
      <c r="H960" t="s">
        <v>9</v>
      </c>
    </row>
    <row r="961" spans="1:8">
      <c r="A961">
        <v>2025</v>
      </c>
      <c r="B961">
        <v>5</v>
      </c>
      <c r="C961" t="s">
        <v>20</v>
      </c>
      <c r="D961">
        <f>VLOOKUP(C961,[8]FP!$C:$V,20,0)</f>
        <v>32</v>
      </c>
      <c r="E961">
        <f>VLOOKUP(C961,[8]FP!$C:$V,16,0)</f>
        <v>34</v>
      </c>
      <c r="F961">
        <v>2</v>
      </c>
      <c r="G961">
        <v>6.25E-2</v>
      </c>
      <c r="H961" t="s">
        <v>9</v>
      </c>
    </row>
    <row r="962" spans="1:8">
      <c r="A962">
        <v>2025</v>
      </c>
      <c r="B962">
        <v>5</v>
      </c>
      <c r="C962" t="s">
        <v>21</v>
      </c>
      <c r="D962">
        <f>VLOOKUP(C962,[8]FP!$C:$V,20,0)</f>
        <v>110</v>
      </c>
      <c r="E962">
        <f>VLOOKUP(C962,[8]FP!$C:$V,16,0)</f>
        <v>112</v>
      </c>
      <c r="F962">
        <v>2</v>
      </c>
      <c r="G962">
        <v>1.7857142857142856E-2</v>
      </c>
      <c r="H962" t="s">
        <v>9</v>
      </c>
    </row>
    <row r="963" spans="1:8">
      <c r="A963">
        <v>2025</v>
      </c>
      <c r="B963">
        <v>5</v>
      </c>
      <c r="C963" t="s">
        <v>22</v>
      </c>
      <c r="D963">
        <f>VLOOKUP(C963,[8]FP!$C:$V,20,0)</f>
        <v>16</v>
      </c>
      <c r="E963">
        <f>VLOOKUP(C963,[8]FP!$C:$V,16,0)</f>
        <v>22</v>
      </c>
      <c r="F963">
        <v>-4</v>
      </c>
      <c r="G963">
        <v>-0.18181818181818182</v>
      </c>
      <c r="H963" t="s">
        <v>9</v>
      </c>
    </row>
    <row r="964" spans="1:8">
      <c r="A964">
        <v>2025</v>
      </c>
      <c r="B964">
        <v>5</v>
      </c>
      <c r="C964" t="s">
        <v>23</v>
      </c>
      <c r="D964">
        <f>VLOOKUP(C964,[8]FP!$C:$V,20,0)</f>
        <v>40</v>
      </c>
      <c r="E964">
        <f>VLOOKUP(C964,[8]FP!$C:$V,16,0)</f>
        <v>38</v>
      </c>
      <c r="F964">
        <v>3</v>
      </c>
      <c r="G964">
        <v>8.5714285714285715E-2</v>
      </c>
      <c r="H964" t="s">
        <v>9</v>
      </c>
    </row>
    <row r="965" spans="1:8">
      <c r="A965">
        <v>2025</v>
      </c>
      <c r="B965">
        <v>5</v>
      </c>
      <c r="C965" t="s">
        <v>24</v>
      </c>
      <c r="D965">
        <f>VLOOKUP(C965,[8]FP!$C:$V,20,0)</f>
        <v>68</v>
      </c>
      <c r="E965">
        <f>VLOOKUP(C965,[8]FP!$C:$V,16,0)</f>
        <v>67</v>
      </c>
      <c r="F965">
        <v>3</v>
      </c>
      <c r="G965">
        <v>4.6153846153846156E-2</v>
      </c>
      <c r="H965" t="s">
        <v>9</v>
      </c>
    </row>
    <row r="966" spans="1:8">
      <c r="A966">
        <v>2025</v>
      </c>
      <c r="B966">
        <v>5</v>
      </c>
      <c r="C966" t="s">
        <v>25</v>
      </c>
      <c r="D966">
        <f>VLOOKUP(C966,[8]FP!$C:$V,20,0)</f>
        <v>60</v>
      </c>
      <c r="E966">
        <f>VLOOKUP(C966,[8]FP!$C:$V,16,0)</f>
        <v>76</v>
      </c>
      <c r="F966">
        <v>-18</v>
      </c>
      <c r="G966">
        <v>-0.23376623376623376</v>
      </c>
      <c r="H966" t="s">
        <v>9</v>
      </c>
    </row>
    <row r="967" spans="1:8">
      <c r="A967">
        <v>2025</v>
      </c>
      <c r="B967">
        <v>5</v>
      </c>
      <c r="C967" t="s">
        <v>26</v>
      </c>
      <c r="D967">
        <f>VLOOKUP(C967,[8]FP!$C:$V,20,0)</f>
        <v>53</v>
      </c>
      <c r="E967">
        <f>VLOOKUP(C967,[8]FP!$C:$V,16,0)</f>
        <v>51</v>
      </c>
      <c r="F967">
        <v>-4</v>
      </c>
      <c r="G967">
        <v>-6.7796610169491525E-2</v>
      </c>
      <c r="H967" t="s">
        <v>9</v>
      </c>
    </row>
    <row r="968" spans="1:8">
      <c r="A968">
        <v>2025</v>
      </c>
      <c r="B968">
        <v>5</v>
      </c>
      <c r="C968" t="s">
        <v>27</v>
      </c>
      <c r="D968">
        <f>VLOOKUP(C968,[8]FP!$C:$V,20,0)</f>
        <v>100</v>
      </c>
      <c r="E968">
        <f>VLOOKUP(C968,[8]FP!$C:$V,16,0)</f>
        <v>112</v>
      </c>
      <c r="F968">
        <v>-2</v>
      </c>
      <c r="G968">
        <v>-1.834862385321101E-2</v>
      </c>
      <c r="H968" t="s">
        <v>9</v>
      </c>
    </row>
    <row r="969" spans="1:8">
      <c r="A969">
        <v>2025</v>
      </c>
      <c r="B969">
        <v>5</v>
      </c>
      <c r="C969" t="s">
        <v>28</v>
      </c>
      <c r="D969">
        <f>VLOOKUP(C969,[8]FP!$C:$V,20,0)</f>
        <v>38</v>
      </c>
      <c r="E969">
        <f>VLOOKUP(C969,[8]FP!$C:$V,16,0)</f>
        <v>35</v>
      </c>
      <c r="F969">
        <v>-1</v>
      </c>
      <c r="G969">
        <v>-2.7777777777777776E-2</v>
      </c>
      <c r="H969" t="s">
        <v>9</v>
      </c>
    </row>
    <row r="970" spans="1:8">
      <c r="A970">
        <v>2025</v>
      </c>
      <c r="B970">
        <v>5</v>
      </c>
      <c r="C970" t="s">
        <v>29</v>
      </c>
      <c r="D970">
        <f>VLOOKUP(C970,[8]FP!$C:$V,20,0)</f>
        <v>50</v>
      </c>
      <c r="E970">
        <f>VLOOKUP(C970,[8]FP!$C:$V,16,0)</f>
        <v>47</v>
      </c>
      <c r="F970">
        <v>3</v>
      </c>
      <c r="G970">
        <v>6.5217391304347824E-2</v>
      </c>
      <c r="H970" t="s">
        <v>9</v>
      </c>
    </row>
    <row r="971" spans="1:8">
      <c r="A971">
        <v>2025</v>
      </c>
      <c r="B971">
        <v>5</v>
      </c>
      <c r="C971" t="s">
        <v>30</v>
      </c>
      <c r="D971">
        <f>VLOOKUP(C971,[8]FP!$C:$V,20,0)</f>
        <v>65</v>
      </c>
      <c r="E971">
        <f>VLOOKUP(C971,[8]FP!$C:$V,16,0)</f>
        <v>80</v>
      </c>
      <c r="F971">
        <v>-16</v>
      </c>
      <c r="G971">
        <v>-0.19753086419753085</v>
      </c>
      <c r="H971" t="s">
        <v>9</v>
      </c>
    </row>
    <row r="972" spans="1:8">
      <c r="A972">
        <v>2025</v>
      </c>
      <c r="B972">
        <v>5</v>
      </c>
      <c r="C972" t="s">
        <v>31</v>
      </c>
      <c r="D972">
        <f>VLOOKUP(C972,[8]FP!$C:$V,20,0)</f>
        <v>48</v>
      </c>
      <c r="E972">
        <f>VLOOKUP(C972,[8]FP!$C:$V,16,0)</f>
        <v>45</v>
      </c>
      <c r="F972">
        <v>1</v>
      </c>
      <c r="G972">
        <v>2.2222222222222223E-2</v>
      </c>
      <c r="H972" t="s">
        <v>9</v>
      </c>
    </row>
    <row r="973" spans="1:8">
      <c r="A973">
        <v>2025</v>
      </c>
      <c r="B973">
        <v>5</v>
      </c>
      <c r="C973" t="s">
        <v>32</v>
      </c>
      <c r="D973">
        <f>VLOOKUP(C973,[8]FP!$C:$V,20,0)</f>
        <v>73</v>
      </c>
      <c r="E973">
        <f>VLOOKUP(C973,[8]FP!$C:$V,16,0)</f>
        <v>71</v>
      </c>
      <c r="F973">
        <v>8</v>
      </c>
      <c r="G973">
        <v>0.12307692307692308</v>
      </c>
      <c r="H973" t="s">
        <v>9</v>
      </c>
    </row>
    <row r="974" spans="1:8">
      <c r="A974">
        <v>2025</v>
      </c>
      <c r="B974">
        <v>5</v>
      </c>
      <c r="C974" t="s">
        <v>33</v>
      </c>
      <c r="D974">
        <f>VLOOKUP(C974,[8]FP!$C:$V,20,0)</f>
        <v>36</v>
      </c>
      <c r="E974">
        <f>VLOOKUP(C974,[8]FP!$C:$V,16,0)</f>
        <v>34</v>
      </c>
      <c r="F974">
        <v>4</v>
      </c>
      <c r="G974">
        <v>0.12121212121212122</v>
      </c>
      <c r="H974" t="s">
        <v>9</v>
      </c>
    </row>
    <row r="975" spans="1:8">
      <c r="A975">
        <v>2025</v>
      </c>
      <c r="B975">
        <v>5</v>
      </c>
      <c r="C975" t="s">
        <v>35</v>
      </c>
      <c r="D975">
        <f>VLOOKUP(C975,[8]FP!$C:$V,20,0)</f>
        <v>37</v>
      </c>
      <c r="E975">
        <f>VLOOKUP(C975,[8]FP!$C:$V,16,0)</f>
        <v>30</v>
      </c>
      <c r="F975">
        <v>5</v>
      </c>
      <c r="G975">
        <v>0.16666666666666666</v>
      </c>
      <c r="H975" t="s">
        <v>9</v>
      </c>
    </row>
    <row r="976" spans="1:8">
      <c r="A976">
        <v>2025</v>
      </c>
      <c r="B976">
        <v>5</v>
      </c>
      <c r="C976" t="s">
        <v>15</v>
      </c>
      <c r="D976">
        <v>66</v>
      </c>
      <c r="E976">
        <v>64</v>
      </c>
      <c r="F976">
        <v>1</v>
      </c>
      <c r="G976">
        <v>1.5625E-2</v>
      </c>
      <c r="H976" t="s">
        <v>34</v>
      </c>
    </row>
    <row r="977" spans="1:8">
      <c r="A977">
        <v>2025</v>
      </c>
      <c r="B977">
        <v>6</v>
      </c>
      <c r="C977" t="s">
        <v>15</v>
      </c>
      <c r="D977">
        <v>68</v>
      </c>
      <c r="E977">
        <v>65</v>
      </c>
      <c r="F977">
        <f>D977-E977</f>
        <v>3</v>
      </c>
      <c r="G977">
        <f>F977/E977</f>
        <v>4.6153846153846156E-2</v>
      </c>
      <c r="H977" t="s">
        <v>34</v>
      </c>
    </row>
    <row r="978" spans="1:8">
      <c r="A978">
        <v>2025</v>
      </c>
      <c r="B978">
        <v>7</v>
      </c>
      <c r="C978" t="s">
        <v>15</v>
      </c>
      <c r="D978">
        <v>68</v>
      </c>
      <c r="E978">
        <v>65</v>
      </c>
      <c r="F978">
        <f>D978-E978</f>
        <v>3</v>
      </c>
      <c r="G978">
        <f>F978/E978</f>
        <v>4.6153846153846156E-2</v>
      </c>
      <c r="H978" t="s">
        <v>34</v>
      </c>
    </row>
    <row r="979" spans="1:8">
      <c r="A979">
        <v>2025</v>
      </c>
      <c r="B979">
        <v>8</v>
      </c>
      <c r="C979" t="s">
        <v>15</v>
      </c>
      <c r="D979">
        <v>68</v>
      </c>
      <c r="E979">
        <v>65</v>
      </c>
      <c r="F979">
        <f>D979-E979</f>
        <v>3</v>
      </c>
      <c r="G979">
        <f>F979/E979</f>
        <v>4.6153846153846156E-2</v>
      </c>
      <c r="H979" t="s">
        <v>34</v>
      </c>
    </row>
    <row r="980" spans="1:8">
      <c r="A980">
        <v>2025</v>
      </c>
      <c r="B980">
        <v>6</v>
      </c>
      <c r="C980" t="s">
        <v>10</v>
      </c>
      <c r="D980">
        <f>_xlfn.XLOOKUP(C980,[9]FP!$C:$C,[9]FP!$S:$S,0)</f>
        <v>48</v>
      </c>
      <c r="E980">
        <f>_xlfn.XLOOKUP(C980,[9]FP!$C:$C,[9]FP!$W:$W,0)</f>
        <v>48</v>
      </c>
      <c r="F980">
        <f>D980-E980</f>
        <v>0</v>
      </c>
      <c r="G980">
        <f>F980/E980</f>
        <v>0</v>
      </c>
      <c r="H980" t="s">
        <v>9</v>
      </c>
    </row>
    <row r="981" spans="1:8">
      <c r="A981">
        <v>2025</v>
      </c>
      <c r="B981">
        <v>6</v>
      </c>
      <c r="C981" t="s">
        <v>11</v>
      </c>
      <c r="D981">
        <f>_xlfn.XLOOKUP(C981,[9]FP!$C:$C,[9]FP!$S:$S,0)</f>
        <v>48</v>
      </c>
      <c r="E981">
        <f>_xlfn.XLOOKUP(C981,[9]FP!$C:$C,[9]FP!$W:$W,0)</f>
        <v>46</v>
      </c>
      <c r="F981">
        <f t="shared" ref="F981:F1044" si="39">D981-E981</f>
        <v>2</v>
      </c>
      <c r="G981">
        <f t="shared" ref="G981:G1044" si="40">F981/E981</f>
        <v>4.3478260869565216E-2</v>
      </c>
      <c r="H981" t="s">
        <v>9</v>
      </c>
    </row>
    <row r="982" spans="1:8">
      <c r="A982">
        <v>2025</v>
      </c>
      <c r="B982">
        <v>6</v>
      </c>
      <c r="C982" t="s">
        <v>12</v>
      </c>
      <c r="D982">
        <f>_xlfn.XLOOKUP(C982,[9]FP!$C:$C,[9]FP!$S:$S,0)</f>
        <v>71</v>
      </c>
      <c r="E982">
        <f>_xlfn.XLOOKUP(C982,[9]FP!$C:$C,[9]FP!$W:$W,0)</f>
        <v>79</v>
      </c>
      <c r="F982">
        <f t="shared" si="39"/>
        <v>-8</v>
      </c>
      <c r="G982">
        <f t="shared" si="40"/>
        <v>-0.10126582278481013</v>
      </c>
      <c r="H982" t="s">
        <v>9</v>
      </c>
    </row>
    <row r="983" spans="1:8">
      <c r="A983">
        <v>2025</v>
      </c>
      <c r="B983">
        <v>6</v>
      </c>
      <c r="C983" t="s">
        <v>13</v>
      </c>
      <c r="D983">
        <f>_xlfn.XLOOKUP(C983,[9]FP!$C:$C,[9]FP!$S:$S,0)</f>
        <v>18</v>
      </c>
      <c r="E983">
        <f>_xlfn.XLOOKUP(C983,[9]FP!$C:$C,[9]FP!$W:$W,0)</f>
        <v>19</v>
      </c>
      <c r="F983">
        <f t="shared" si="39"/>
        <v>-1</v>
      </c>
      <c r="G983">
        <f t="shared" si="40"/>
        <v>-5.2631578947368418E-2</v>
      </c>
      <c r="H983" t="s">
        <v>9</v>
      </c>
    </row>
    <row r="984" spans="1:8">
      <c r="A984">
        <v>2025</v>
      </c>
      <c r="B984">
        <v>6</v>
      </c>
      <c r="C984" t="s">
        <v>14</v>
      </c>
      <c r="D984">
        <f>_xlfn.XLOOKUP(C984,[9]FP!$C:$C,[9]FP!$S:$S,0)</f>
        <v>245</v>
      </c>
      <c r="E984">
        <f>_xlfn.XLOOKUP(C984,[9]FP!$C:$C,[9]FP!$W:$W,0)</f>
        <v>245</v>
      </c>
      <c r="F984">
        <f t="shared" si="39"/>
        <v>0</v>
      </c>
      <c r="G984">
        <f t="shared" si="40"/>
        <v>0</v>
      </c>
      <c r="H984" t="s">
        <v>9</v>
      </c>
    </row>
    <row r="985" spans="1:8">
      <c r="A985">
        <v>2025</v>
      </c>
      <c r="B985">
        <v>6</v>
      </c>
      <c r="C985" t="s">
        <v>15</v>
      </c>
      <c r="D985">
        <v>170</v>
      </c>
      <c r="E985">
        <v>167</v>
      </c>
      <c r="F985">
        <f t="shared" si="39"/>
        <v>3</v>
      </c>
      <c r="G985">
        <f t="shared" si="40"/>
        <v>1.7964071856287425E-2</v>
      </c>
      <c r="H985" t="s">
        <v>9</v>
      </c>
    </row>
    <row r="986" spans="1:8">
      <c r="A986">
        <v>2025</v>
      </c>
      <c r="B986">
        <v>6</v>
      </c>
      <c r="C986" t="s">
        <v>16</v>
      </c>
      <c r="D986">
        <f>_xlfn.XLOOKUP(C986,[9]FP!$C:$C,[9]FP!$S:$S,0)</f>
        <v>39</v>
      </c>
      <c r="E986">
        <f>_xlfn.XLOOKUP(C986,[9]FP!$C:$C,[9]FP!$W:$W,0)</f>
        <v>42</v>
      </c>
      <c r="F986">
        <f t="shared" si="39"/>
        <v>-3</v>
      </c>
      <c r="G986">
        <f t="shared" si="40"/>
        <v>-7.1428571428571425E-2</v>
      </c>
      <c r="H986" t="s">
        <v>9</v>
      </c>
    </row>
    <row r="987" spans="1:8">
      <c r="A987">
        <v>2025</v>
      </c>
      <c r="B987">
        <v>6</v>
      </c>
      <c r="C987" t="s">
        <v>17</v>
      </c>
      <c r="D987">
        <f>_xlfn.XLOOKUP(C987,[9]FP!$C:$C,[9]FP!$S:$S,0)</f>
        <v>45</v>
      </c>
      <c r="E987">
        <f>_xlfn.XLOOKUP(C987,[9]FP!$C:$C,[9]FP!$W:$W,0)</f>
        <v>42</v>
      </c>
      <c r="F987">
        <f t="shared" si="39"/>
        <v>3</v>
      </c>
      <c r="G987">
        <f t="shared" si="40"/>
        <v>7.1428571428571425E-2</v>
      </c>
      <c r="H987" t="s">
        <v>9</v>
      </c>
    </row>
    <row r="988" spans="1:8">
      <c r="A988">
        <v>2025</v>
      </c>
      <c r="B988">
        <v>6</v>
      </c>
      <c r="C988" t="s">
        <v>18</v>
      </c>
      <c r="D988">
        <f>_xlfn.XLOOKUP(C988,[9]FP!$C:$C,[9]FP!$S:$S,0)</f>
        <v>59</v>
      </c>
      <c r="E988">
        <f>_xlfn.XLOOKUP(C988,[9]FP!$C:$C,[9]FP!$W:$W,0)</f>
        <v>59</v>
      </c>
      <c r="F988">
        <f t="shared" si="39"/>
        <v>0</v>
      </c>
      <c r="G988">
        <f t="shared" si="40"/>
        <v>0</v>
      </c>
      <c r="H988" t="s">
        <v>9</v>
      </c>
    </row>
    <row r="989" spans="1:8">
      <c r="A989">
        <v>2025</v>
      </c>
      <c r="B989">
        <v>6</v>
      </c>
      <c r="C989" t="s">
        <v>19</v>
      </c>
      <c r="D989">
        <f>_xlfn.XLOOKUP(C989,[9]FP!$C:$C,[9]FP!$S:$S,0)</f>
        <v>87</v>
      </c>
      <c r="E989">
        <f>_xlfn.XLOOKUP(C989,[9]FP!$C:$C,[9]FP!$W:$W,0)</f>
        <v>83</v>
      </c>
      <c r="F989">
        <f t="shared" si="39"/>
        <v>4</v>
      </c>
      <c r="G989">
        <f t="shared" si="40"/>
        <v>4.8192771084337352E-2</v>
      </c>
      <c r="H989" t="s">
        <v>9</v>
      </c>
    </row>
    <row r="990" spans="1:8">
      <c r="A990">
        <v>2025</v>
      </c>
      <c r="B990">
        <v>6</v>
      </c>
      <c r="C990" t="s">
        <v>20</v>
      </c>
      <c r="D990">
        <f>_xlfn.XLOOKUP(C990,[9]FP!$C:$C,[9]FP!$S:$S,0)</f>
        <v>34</v>
      </c>
      <c r="E990">
        <f>_xlfn.XLOOKUP(C990,[9]FP!$C:$C,[9]FP!$W:$W,0)</f>
        <v>31</v>
      </c>
      <c r="F990">
        <f t="shared" si="39"/>
        <v>3</v>
      </c>
      <c r="G990">
        <f t="shared" si="40"/>
        <v>9.6774193548387094E-2</v>
      </c>
      <c r="H990" t="s">
        <v>9</v>
      </c>
    </row>
    <row r="991" spans="1:8">
      <c r="A991">
        <v>2025</v>
      </c>
      <c r="B991">
        <v>6</v>
      </c>
      <c r="C991" t="s">
        <v>21</v>
      </c>
      <c r="D991">
        <f>_xlfn.XLOOKUP(C991,[9]FP!$C:$C,[9]FP!$S:$S,0)</f>
        <v>108</v>
      </c>
      <c r="E991">
        <f>_xlfn.XLOOKUP(C991,[9]FP!$C:$C,[9]FP!$W:$W,0)</f>
        <v>109</v>
      </c>
      <c r="F991">
        <f t="shared" si="39"/>
        <v>-1</v>
      </c>
      <c r="G991">
        <f t="shared" si="40"/>
        <v>-9.1743119266055051E-3</v>
      </c>
      <c r="H991" t="s">
        <v>9</v>
      </c>
    </row>
    <row r="992" spans="1:8">
      <c r="A992">
        <v>2025</v>
      </c>
      <c r="B992">
        <v>6</v>
      </c>
      <c r="C992" t="s">
        <v>22</v>
      </c>
      <c r="D992">
        <f>_xlfn.XLOOKUP(C992,[9]FP!$C:$C,[9]FP!$S:$S,0)</f>
        <v>21</v>
      </c>
      <c r="E992">
        <f>_xlfn.XLOOKUP(C992,[9]FP!$C:$C,[9]FP!$W:$W,0)</f>
        <v>14</v>
      </c>
      <c r="F992">
        <f t="shared" si="39"/>
        <v>7</v>
      </c>
      <c r="G992">
        <f t="shared" si="40"/>
        <v>0.5</v>
      </c>
      <c r="H992" t="s">
        <v>9</v>
      </c>
    </row>
    <row r="993" spans="1:8">
      <c r="A993">
        <v>2025</v>
      </c>
      <c r="B993">
        <v>6</v>
      </c>
      <c r="C993" t="s">
        <v>23</v>
      </c>
      <c r="D993">
        <f>_xlfn.XLOOKUP(C993,[9]FP!$C:$C,[9]FP!$S:$S,0)</f>
        <v>35</v>
      </c>
      <c r="E993">
        <f>_xlfn.XLOOKUP(C993,[9]FP!$C:$C,[9]FP!$W:$W,0)</f>
        <v>41</v>
      </c>
      <c r="F993">
        <f t="shared" si="39"/>
        <v>-6</v>
      </c>
      <c r="G993">
        <f t="shared" si="40"/>
        <v>-0.14634146341463414</v>
      </c>
      <c r="H993" t="s">
        <v>9</v>
      </c>
    </row>
    <row r="994" spans="1:8">
      <c r="A994">
        <v>2025</v>
      </c>
      <c r="B994">
        <v>6</v>
      </c>
      <c r="C994" t="s">
        <v>24</v>
      </c>
      <c r="D994">
        <f>_xlfn.XLOOKUP(C994,[9]FP!$C:$C,[9]FP!$S:$S,0)</f>
        <v>67</v>
      </c>
      <c r="E994">
        <f>_xlfn.XLOOKUP(C994,[9]FP!$C:$C,[9]FP!$W:$W,0)</f>
        <v>69</v>
      </c>
      <c r="F994">
        <f t="shared" si="39"/>
        <v>-2</v>
      </c>
      <c r="G994">
        <f t="shared" si="40"/>
        <v>-2.8985507246376812E-2</v>
      </c>
      <c r="H994" t="s">
        <v>9</v>
      </c>
    </row>
    <row r="995" spans="1:8">
      <c r="A995">
        <v>2025</v>
      </c>
      <c r="B995">
        <v>6</v>
      </c>
      <c r="C995" t="s">
        <v>25</v>
      </c>
      <c r="D995">
        <f>_xlfn.XLOOKUP(C995,[9]FP!$C:$C,[9]FP!$S:$S,0)</f>
        <v>68</v>
      </c>
      <c r="E995">
        <f>_xlfn.XLOOKUP(C995,[9]FP!$C:$C,[9]FP!$W:$W,0)</f>
        <v>60</v>
      </c>
      <c r="F995">
        <f t="shared" si="39"/>
        <v>8</v>
      </c>
      <c r="G995">
        <f t="shared" si="40"/>
        <v>0.13333333333333333</v>
      </c>
      <c r="H995" t="s">
        <v>9</v>
      </c>
    </row>
    <row r="996" spans="1:8">
      <c r="A996">
        <v>2025</v>
      </c>
      <c r="B996">
        <v>6</v>
      </c>
      <c r="C996" t="s">
        <v>26</v>
      </c>
      <c r="D996">
        <f>_xlfn.XLOOKUP(C996,[9]FP!$C:$C,[9]FP!$S:$S,0)</f>
        <v>50</v>
      </c>
      <c r="E996">
        <f>_xlfn.XLOOKUP(C996,[9]FP!$C:$C,[9]FP!$W:$W,0)</f>
        <v>55</v>
      </c>
      <c r="F996">
        <f t="shared" si="39"/>
        <v>-5</v>
      </c>
      <c r="G996">
        <f t="shared" si="40"/>
        <v>-9.0909090909090912E-2</v>
      </c>
      <c r="H996" t="s">
        <v>9</v>
      </c>
    </row>
    <row r="997" spans="1:8">
      <c r="A997">
        <v>2025</v>
      </c>
      <c r="B997">
        <v>6</v>
      </c>
      <c r="C997" t="s">
        <v>27</v>
      </c>
      <c r="D997">
        <f>_xlfn.XLOOKUP(C997,[9]FP!$C:$C,[9]FP!$S:$S,0)</f>
        <v>108</v>
      </c>
      <c r="E997">
        <f>_xlfn.XLOOKUP(C997,[9]FP!$C:$C,[9]FP!$W:$W,0)</f>
        <v>98</v>
      </c>
      <c r="F997">
        <f t="shared" si="39"/>
        <v>10</v>
      </c>
      <c r="G997">
        <f t="shared" si="40"/>
        <v>0.10204081632653061</v>
      </c>
      <c r="H997" t="s">
        <v>9</v>
      </c>
    </row>
    <row r="998" spans="1:8">
      <c r="A998">
        <v>2025</v>
      </c>
      <c r="B998">
        <v>6</v>
      </c>
      <c r="C998" t="s">
        <v>28</v>
      </c>
      <c r="D998">
        <f>_xlfn.XLOOKUP(C998,[9]FP!$C:$C,[9]FP!$S:$S,0)</f>
        <v>35</v>
      </c>
      <c r="E998">
        <f>_xlfn.XLOOKUP(C998,[9]FP!$C:$C,[9]FP!$W:$W,0)</f>
        <v>41</v>
      </c>
      <c r="F998">
        <f t="shared" si="39"/>
        <v>-6</v>
      </c>
      <c r="G998">
        <f t="shared" si="40"/>
        <v>-0.14634146341463414</v>
      </c>
      <c r="H998" t="s">
        <v>9</v>
      </c>
    </row>
    <row r="999" spans="1:8">
      <c r="A999">
        <v>2025</v>
      </c>
      <c r="B999">
        <v>6</v>
      </c>
      <c r="C999" t="s">
        <v>29</v>
      </c>
      <c r="D999">
        <f>_xlfn.XLOOKUP(C999,[9]FP!$C:$C,[9]FP!$S:$S,0)</f>
        <v>49</v>
      </c>
      <c r="E999">
        <f>_xlfn.XLOOKUP(C999,[9]FP!$C:$C,[9]FP!$W:$W,0)</f>
        <v>49</v>
      </c>
      <c r="F999">
        <f t="shared" si="39"/>
        <v>0</v>
      </c>
      <c r="G999">
        <f t="shared" si="40"/>
        <v>0</v>
      </c>
      <c r="H999" t="s">
        <v>9</v>
      </c>
    </row>
    <row r="1000" spans="1:8">
      <c r="A1000">
        <v>2025</v>
      </c>
      <c r="B1000">
        <v>6</v>
      </c>
      <c r="C1000" t="s">
        <v>30</v>
      </c>
      <c r="D1000">
        <f>_xlfn.XLOOKUP(C1000,[9]FP!$C:$C,[9]FP!$S:$S,0)</f>
        <v>74</v>
      </c>
      <c r="E1000">
        <f>_xlfn.XLOOKUP(C1000,[9]FP!$C:$C,[9]FP!$W:$W,0)</f>
        <v>64</v>
      </c>
      <c r="F1000">
        <f t="shared" si="39"/>
        <v>10</v>
      </c>
      <c r="G1000">
        <f t="shared" si="40"/>
        <v>0.15625</v>
      </c>
      <c r="H1000" t="s">
        <v>9</v>
      </c>
    </row>
    <row r="1001" spans="1:8">
      <c r="A1001">
        <v>2025</v>
      </c>
      <c r="B1001">
        <v>6</v>
      </c>
      <c r="C1001" t="s">
        <v>31</v>
      </c>
      <c r="D1001">
        <f>_xlfn.XLOOKUP(C1001,[9]FP!$C:$C,[9]FP!$S:$S,0)</f>
        <v>44</v>
      </c>
      <c r="E1001">
        <f>_xlfn.XLOOKUP(C1001,[9]FP!$C:$C,[9]FP!$W:$W,0)</f>
        <v>45</v>
      </c>
      <c r="F1001">
        <f t="shared" si="39"/>
        <v>-1</v>
      </c>
      <c r="G1001">
        <f t="shared" si="40"/>
        <v>-2.2222222222222223E-2</v>
      </c>
      <c r="H1001" t="s">
        <v>9</v>
      </c>
    </row>
    <row r="1002" spans="1:8">
      <c r="A1002">
        <v>2025</v>
      </c>
      <c r="B1002">
        <v>6</v>
      </c>
      <c r="C1002" t="s">
        <v>32</v>
      </c>
      <c r="D1002">
        <f>_xlfn.XLOOKUP(C1002,[9]FP!$C:$C,[9]FP!$S:$S,0)</f>
        <v>71</v>
      </c>
      <c r="E1002">
        <f>_xlfn.XLOOKUP(C1002,[9]FP!$C:$C,[9]FP!$W:$W,0)</f>
        <v>75</v>
      </c>
      <c r="F1002">
        <f t="shared" si="39"/>
        <v>-4</v>
      </c>
      <c r="G1002">
        <f t="shared" si="40"/>
        <v>-5.3333333333333337E-2</v>
      </c>
      <c r="H1002" t="s">
        <v>9</v>
      </c>
    </row>
    <row r="1003" spans="1:8">
      <c r="A1003">
        <v>2025</v>
      </c>
      <c r="B1003">
        <v>6</v>
      </c>
      <c r="C1003" t="s">
        <v>33</v>
      </c>
      <c r="D1003">
        <f>_xlfn.XLOOKUP(C1003,[9]FP!$C:$C,[9]FP!$S:$S,0)</f>
        <v>34</v>
      </c>
      <c r="E1003">
        <f>_xlfn.XLOOKUP(C1003,[9]FP!$C:$C,[9]FP!$W:$W,0)</f>
        <v>37</v>
      </c>
      <c r="F1003">
        <f t="shared" si="39"/>
        <v>-3</v>
      </c>
      <c r="G1003">
        <f t="shared" si="40"/>
        <v>-8.1081081081081086E-2</v>
      </c>
      <c r="H1003" t="s">
        <v>9</v>
      </c>
    </row>
    <row r="1004" spans="1:8">
      <c r="A1004">
        <v>2025</v>
      </c>
      <c r="B1004">
        <v>6</v>
      </c>
      <c r="C1004" t="s">
        <v>35</v>
      </c>
      <c r="D1004">
        <f>_xlfn.XLOOKUP(C1004,[9]FP!$C:$C,[9]FP!$S:$S,0)</f>
        <v>30</v>
      </c>
      <c r="E1004">
        <f>_xlfn.XLOOKUP(C1004,[9]FP!$C:$C,[9]FP!$W:$W,0)</f>
        <v>37</v>
      </c>
      <c r="F1004">
        <f t="shared" si="39"/>
        <v>-7</v>
      </c>
      <c r="G1004">
        <f t="shared" si="40"/>
        <v>-0.1891891891891892</v>
      </c>
      <c r="H1004" t="s">
        <v>9</v>
      </c>
    </row>
    <row r="1005" spans="1:8">
      <c r="A1005">
        <v>2025</v>
      </c>
      <c r="B1005">
        <v>7</v>
      </c>
      <c r="C1005" t="s">
        <v>10</v>
      </c>
      <c r="D1005">
        <f>_xlfn.XLOOKUP(C1005,[9]FP!$C:$C,[9]FP!$S:$S,0)</f>
        <v>48</v>
      </c>
      <c r="E1005">
        <f>_xlfn.XLOOKUP(C1005,[9]FP!$C:$C,[9]FP!$W:$W,0)</f>
        <v>48</v>
      </c>
      <c r="F1005">
        <f t="shared" si="39"/>
        <v>0</v>
      </c>
      <c r="G1005">
        <f t="shared" si="40"/>
        <v>0</v>
      </c>
      <c r="H1005" t="s">
        <v>9</v>
      </c>
    </row>
    <row r="1006" spans="1:8">
      <c r="A1006">
        <v>2025</v>
      </c>
      <c r="B1006">
        <v>7</v>
      </c>
      <c r="C1006" t="s">
        <v>11</v>
      </c>
      <c r="D1006">
        <f>_xlfn.XLOOKUP(C1006,[9]FP!$C:$C,[9]FP!$S:$S,0)</f>
        <v>48</v>
      </c>
      <c r="E1006">
        <f>_xlfn.XLOOKUP(C1006,[9]FP!$C:$C,[9]FP!$W:$W,0)</f>
        <v>46</v>
      </c>
      <c r="F1006">
        <f t="shared" si="39"/>
        <v>2</v>
      </c>
      <c r="G1006">
        <f t="shared" si="40"/>
        <v>4.3478260869565216E-2</v>
      </c>
      <c r="H1006" t="s">
        <v>9</v>
      </c>
    </row>
    <row r="1007" spans="1:8">
      <c r="A1007">
        <v>2025</v>
      </c>
      <c r="B1007">
        <v>7</v>
      </c>
      <c r="C1007" t="s">
        <v>12</v>
      </c>
      <c r="D1007">
        <f>_xlfn.XLOOKUP(C1007,[9]FP!$C:$C,[9]FP!$S:$S,0)</f>
        <v>71</v>
      </c>
      <c r="E1007">
        <f>_xlfn.XLOOKUP(C1007,[9]FP!$C:$C,[9]FP!$W:$W,0)</f>
        <v>79</v>
      </c>
      <c r="F1007">
        <f t="shared" si="39"/>
        <v>-8</v>
      </c>
      <c r="G1007">
        <f t="shared" si="40"/>
        <v>-0.10126582278481013</v>
      </c>
      <c r="H1007" t="s">
        <v>9</v>
      </c>
    </row>
    <row r="1008" spans="1:8">
      <c r="A1008">
        <v>2025</v>
      </c>
      <c r="B1008">
        <v>7</v>
      </c>
      <c r="C1008" t="s">
        <v>13</v>
      </c>
      <c r="D1008">
        <f>_xlfn.XLOOKUP(C1008,[9]FP!$C:$C,[9]FP!$S:$S,0)</f>
        <v>18</v>
      </c>
      <c r="E1008">
        <f>_xlfn.XLOOKUP(C1008,[9]FP!$C:$C,[9]FP!$W:$W,0)</f>
        <v>19</v>
      </c>
      <c r="F1008">
        <f t="shared" si="39"/>
        <v>-1</v>
      </c>
      <c r="G1008">
        <f t="shared" si="40"/>
        <v>-5.2631578947368418E-2</v>
      </c>
      <c r="H1008" t="s">
        <v>9</v>
      </c>
    </row>
    <row r="1009" spans="1:8">
      <c r="A1009">
        <v>2025</v>
      </c>
      <c r="B1009">
        <v>7</v>
      </c>
      <c r="C1009" t="s">
        <v>14</v>
      </c>
      <c r="D1009">
        <f>_xlfn.XLOOKUP(C1009,[9]FP!$C:$C,[9]FP!$S:$S,0)</f>
        <v>245</v>
      </c>
      <c r="E1009">
        <f>_xlfn.XLOOKUP(C1009,[9]FP!$C:$C,[9]FP!$W:$W,0)</f>
        <v>245</v>
      </c>
      <c r="F1009">
        <f t="shared" si="39"/>
        <v>0</v>
      </c>
      <c r="G1009">
        <f t="shared" si="40"/>
        <v>0</v>
      </c>
      <c r="H1009" t="s">
        <v>9</v>
      </c>
    </row>
    <row r="1010" spans="1:8">
      <c r="A1010">
        <v>2025</v>
      </c>
      <c r="B1010">
        <v>7</v>
      </c>
      <c r="C1010" t="s">
        <v>15</v>
      </c>
      <c r="D1010">
        <v>170</v>
      </c>
      <c r="E1010">
        <v>167</v>
      </c>
      <c r="F1010">
        <f t="shared" si="39"/>
        <v>3</v>
      </c>
      <c r="G1010">
        <f t="shared" si="40"/>
        <v>1.7964071856287425E-2</v>
      </c>
      <c r="H1010" t="s">
        <v>9</v>
      </c>
    </row>
    <row r="1011" spans="1:8">
      <c r="A1011">
        <v>2025</v>
      </c>
      <c r="B1011">
        <v>7</v>
      </c>
      <c r="C1011" t="s">
        <v>16</v>
      </c>
      <c r="D1011">
        <f>_xlfn.XLOOKUP(C1011,[9]FP!$C:$C,[9]FP!$S:$S,0)</f>
        <v>39</v>
      </c>
      <c r="E1011">
        <f>_xlfn.XLOOKUP(C1011,[9]FP!$C:$C,[9]FP!$W:$W,0)</f>
        <v>42</v>
      </c>
      <c r="F1011">
        <f t="shared" si="39"/>
        <v>-3</v>
      </c>
      <c r="G1011">
        <f t="shared" si="40"/>
        <v>-7.1428571428571425E-2</v>
      </c>
      <c r="H1011" t="s">
        <v>9</v>
      </c>
    </row>
    <row r="1012" spans="1:8">
      <c r="A1012">
        <v>2025</v>
      </c>
      <c r="B1012">
        <v>7</v>
      </c>
      <c r="C1012" t="s">
        <v>17</v>
      </c>
      <c r="D1012">
        <f>_xlfn.XLOOKUP(C1012,[9]FP!$C:$C,[9]FP!$S:$S,0)</f>
        <v>45</v>
      </c>
      <c r="E1012">
        <f>_xlfn.XLOOKUP(C1012,[9]FP!$C:$C,[9]FP!$W:$W,0)</f>
        <v>42</v>
      </c>
      <c r="F1012">
        <f t="shared" si="39"/>
        <v>3</v>
      </c>
      <c r="G1012">
        <f t="shared" si="40"/>
        <v>7.1428571428571425E-2</v>
      </c>
      <c r="H1012" t="s">
        <v>9</v>
      </c>
    </row>
    <row r="1013" spans="1:8">
      <c r="A1013">
        <v>2025</v>
      </c>
      <c r="B1013">
        <v>7</v>
      </c>
      <c r="C1013" t="s">
        <v>18</v>
      </c>
      <c r="D1013">
        <f>_xlfn.XLOOKUP(C1013,[9]FP!$C:$C,[9]FP!$S:$S,0)</f>
        <v>59</v>
      </c>
      <c r="E1013">
        <f>_xlfn.XLOOKUP(C1013,[9]FP!$C:$C,[9]FP!$W:$W,0)</f>
        <v>59</v>
      </c>
      <c r="F1013">
        <f t="shared" si="39"/>
        <v>0</v>
      </c>
      <c r="G1013">
        <f t="shared" si="40"/>
        <v>0</v>
      </c>
      <c r="H1013" t="s">
        <v>9</v>
      </c>
    </row>
    <row r="1014" spans="1:8">
      <c r="A1014">
        <v>2025</v>
      </c>
      <c r="B1014">
        <v>7</v>
      </c>
      <c r="C1014" t="s">
        <v>19</v>
      </c>
      <c r="D1014">
        <f>_xlfn.XLOOKUP(C1014,[9]FP!$C:$C,[9]FP!$S:$S,0)</f>
        <v>87</v>
      </c>
      <c r="E1014">
        <f>_xlfn.XLOOKUP(C1014,[9]FP!$C:$C,[9]FP!$W:$W,0)</f>
        <v>83</v>
      </c>
      <c r="F1014">
        <f t="shared" si="39"/>
        <v>4</v>
      </c>
      <c r="G1014">
        <f t="shared" si="40"/>
        <v>4.8192771084337352E-2</v>
      </c>
      <c r="H1014" t="s">
        <v>9</v>
      </c>
    </row>
    <row r="1015" spans="1:8">
      <c r="A1015">
        <v>2025</v>
      </c>
      <c r="B1015">
        <v>7</v>
      </c>
      <c r="C1015" t="s">
        <v>20</v>
      </c>
      <c r="D1015">
        <f>_xlfn.XLOOKUP(C1015,[9]FP!$C:$C,[9]FP!$S:$S,0)</f>
        <v>34</v>
      </c>
      <c r="E1015">
        <f>_xlfn.XLOOKUP(C1015,[9]FP!$C:$C,[9]FP!$W:$W,0)</f>
        <v>31</v>
      </c>
      <c r="F1015">
        <f t="shared" si="39"/>
        <v>3</v>
      </c>
      <c r="G1015">
        <f t="shared" si="40"/>
        <v>9.6774193548387094E-2</v>
      </c>
      <c r="H1015" t="s">
        <v>9</v>
      </c>
    </row>
    <row r="1016" spans="1:8">
      <c r="A1016">
        <v>2025</v>
      </c>
      <c r="B1016">
        <v>7</v>
      </c>
      <c r="C1016" t="s">
        <v>21</v>
      </c>
      <c r="D1016">
        <f>_xlfn.XLOOKUP(C1016,[9]FP!$C:$C,[9]FP!$S:$S,0)</f>
        <v>108</v>
      </c>
      <c r="E1016">
        <f>_xlfn.XLOOKUP(C1016,[9]FP!$C:$C,[9]FP!$W:$W,0)</f>
        <v>109</v>
      </c>
      <c r="F1016">
        <f t="shared" si="39"/>
        <v>-1</v>
      </c>
      <c r="G1016">
        <f t="shared" si="40"/>
        <v>-9.1743119266055051E-3</v>
      </c>
      <c r="H1016" t="s">
        <v>9</v>
      </c>
    </row>
    <row r="1017" spans="1:8">
      <c r="A1017">
        <v>2025</v>
      </c>
      <c r="B1017">
        <v>7</v>
      </c>
      <c r="C1017" t="s">
        <v>22</v>
      </c>
      <c r="D1017">
        <f>_xlfn.XLOOKUP(C1017,[9]FP!$C:$C,[9]FP!$S:$S,0)</f>
        <v>21</v>
      </c>
      <c r="E1017">
        <f>_xlfn.XLOOKUP(C1017,[9]FP!$C:$C,[9]FP!$W:$W,0)</f>
        <v>14</v>
      </c>
      <c r="F1017">
        <f t="shared" si="39"/>
        <v>7</v>
      </c>
      <c r="G1017">
        <f t="shared" si="40"/>
        <v>0.5</v>
      </c>
      <c r="H1017" t="s">
        <v>9</v>
      </c>
    </row>
    <row r="1018" spans="1:8">
      <c r="A1018">
        <v>2025</v>
      </c>
      <c r="B1018">
        <v>7</v>
      </c>
      <c r="C1018" t="s">
        <v>23</v>
      </c>
      <c r="D1018">
        <f>_xlfn.XLOOKUP(C1018,[9]FP!$C:$C,[9]FP!$S:$S,0)</f>
        <v>35</v>
      </c>
      <c r="E1018">
        <f>_xlfn.XLOOKUP(C1018,[9]FP!$C:$C,[9]FP!$W:$W,0)</f>
        <v>41</v>
      </c>
      <c r="F1018">
        <f t="shared" si="39"/>
        <v>-6</v>
      </c>
      <c r="G1018">
        <f t="shared" si="40"/>
        <v>-0.14634146341463414</v>
      </c>
      <c r="H1018" t="s">
        <v>9</v>
      </c>
    </row>
    <row r="1019" spans="1:8">
      <c r="A1019">
        <v>2025</v>
      </c>
      <c r="B1019">
        <v>7</v>
      </c>
      <c r="C1019" t="s">
        <v>24</v>
      </c>
      <c r="D1019">
        <f>_xlfn.XLOOKUP(C1019,[9]FP!$C:$C,[9]FP!$S:$S,0)</f>
        <v>67</v>
      </c>
      <c r="E1019">
        <f>_xlfn.XLOOKUP(C1019,[9]FP!$C:$C,[9]FP!$W:$W,0)</f>
        <v>69</v>
      </c>
      <c r="F1019">
        <f t="shared" si="39"/>
        <v>-2</v>
      </c>
      <c r="G1019">
        <f t="shared" si="40"/>
        <v>-2.8985507246376812E-2</v>
      </c>
      <c r="H1019" t="s">
        <v>9</v>
      </c>
    </row>
    <row r="1020" spans="1:8">
      <c r="A1020">
        <v>2025</v>
      </c>
      <c r="B1020">
        <v>7</v>
      </c>
      <c r="C1020" t="s">
        <v>25</v>
      </c>
      <c r="D1020">
        <f>_xlfn.XLOOKUP(C1020,[9]FP!$C:$C,[9]FP!$S:$S,0)</f>
        <v>68</v>
      </c>
      <c r="E1020">
        <f>_xlfn.XLOOKUP(C1020,[9]FP!$C:$C,[9]FP!$W:$W,0)</f>
        <v>60</v>
      </c>
      <c r="F1020">
        <f t="shared" si="39"/>
        <v>8</v>
      </c>
      <c r="G1020">
        <f t="shared" si="40"/>
        <v>0.13333333333333333</v>
      </c>
      <c r="H1020" t="s">
        <v>9</v>
      </c>
    </row>
    <row r="1021" spans="1:8">
      <c r="A1021">
        <v>2025</v>
      </c>
      <c r="B1021">
        <v>7</v>
      </c>
      <c r="C1021" t="s">
        <v>26</v>
      </c>
      <c r="D1021">
        <f>_xlfn.XLOOKUP(C1021,[9]FP!$C:$C,[9]FP!$S:$S,0)</f>
        <v>50</v>
      </c>
      <c r="E1021">
        <f>_xlfn.XLOOKUP(C1021,[9]FP!$C:$C,[9]FP!$W:$W,0)</f>
        <v>55</v>
      </c>
      <c r="F1021">
        <f t="shared" si="39"/>
        <v>-5</v>
      </c>
      <c r="G1021">
        <f t="shared" si="40"/>
        <v>-9.0909090909090912E-2</v>
      </c>
      <c r="H1021" t="s">
        <v>9</v>
      </c>
    </row>
    <row r="1022" spans="1:8">
      <c r="A1022">
        <v>2025</v>
      </c>
      <c r="B1022">
        <v>7</v>
      </c>
      <c r="C1022" t="s">
        <v>27</v>
      </c>
      <c r="D1022">
        <f>_xlfn.XLOOKUP(C1022,[9]FP!$C:$C,[9]FP!$S:$S,0)</f>
        <v>108</v>
      </c>
      <c r="E1022">
        <f>_xlfn.XLOOKUP(C1022,[9]FP!$C:$C,[9]FP!$W:$W,0)</f>
        <v>98</v>
      </c>
      <c r="F1022">
        <f t="shared" si="39"/>
        <v>10</v>
      </c>
      <c r="G1022">
        <f t="shared" si="40"/>
        <v>0.10204081632653061</v>
      </c>
      <c r="H1022" t="s">
        <v>9</v>
      </c>
    </row>
    <row r="1023" spans="1:8">
      <c r="A1023">
        <v>2025</v>
      </c>
      <c r="B1023">
        <v>7</v>
      </c>
      <c r="C1023" t="s">
        <v>28</v>
      </c>
      <c r="D1023">
        <f>_xlfn.XLOOKUP(C1023,[9]FP!$C:$C,[9]FP!$S:$S,0)</f>
        <v>35</v>
      </c>
      <c r="E1023">
        <f>_xlfn.XLOOKUP(C1023,[9]FP!$C:$C,[9]FP!$W:$W,0)</f>
        <v>41</v>
      </c>
      <c r="F1023">
        <f t="shared" si="39"/>
        <v>-6</v>
      </c>
      <c r="G1023">
        <f t="shared" si="40"/>
        <v>-0.14634146341463414</v>
      </c>
      <c r="H1023" t="s">
        <v>9</v>
      </c>
    </row>
    <row r="1024" spans="1:8">
      <c r="A1024">
        <v>2025</v>
      </c>
      <c r="B1024">
        <v>7</v>
      </c>
      <c r="C1024" t="s">
        <v>29</v>
      </c>
      <c r="D1024">
        <f>_xlfn.XLOOKUP(C1024,[9]FP!$C:$C,[9]FP!$S:$S,0)</f>
        <v>49</v>
      </c>
      <c r="E1024">
        <f>_xlfn.XLOOKUP(C1024,[9]FP!$C:$C,[9]FP!$W:$W,0)</f>
        <v>49</v>
      </c>
      <c r="F1024">
        <f t="shared" si="39"/>
        <v>0</v>
      </c>
      <c r="G1024">
        <f t="shared" si="40"/>
        <v>0</v>
      </c>
      <c r="H1024" t="s">
        <v>9</v>
      </c>
    </row>
    <row r="1025" spans="1:8">
      <c r="A1025">
        <v>2025</v>
      </c>
      <c r="B1025">
        <v>7</v>
      </c>
      <c r="C1025" t="s">
        <v>30</v>
      </c>
      <c r="D1025">
        <f>_xlfn.XLOOKUP(C1025,[9]FP!$C:$C,[9]FP!$S:$S,0)</f>
        <v>74</v>
      </c>
      <c r="E1025">
        <f>_xlfn.XLOOKUP(C1025,[9]FP!$C:$C,[9]FP!$W:$W,0)</f>
        <v>64</v>
      </c>
      <c r="F1025">
        <f t="shared" si="39"/>
        <v>10</v>
      </c>
      <c r="G1025">
        <f t="shared" si="40"/>
        <v>0.15625</v>
      </c>
      <c r="H1025" t="s">
        <v>9</v>
      </c>
    </row>
    <row r="1026" spans="1:8">
      <c r="A1026">
        <v>2025</v>
      </c>
      <c r="B1026">
        <v>7</v>
      </c>
      <c r="C1026" t="s">
        <v>31</v>
      </c>
      <c r="D1026">
        <f>_xlfn.XLOOKUP(C1026,[9]FP!$C:$C,[9]FP!$S:$S,0)</f>
        <v>44</v>
      </c>
      <c r="E1026">
        <f>_xlfn.XLOOKUP(C1026,[9]FP!$C:$C,[9]FP!$W:$W,0)</f>
        <v>45</v>
      </c>
      <c r="F1026">
        <f t="shared" si="39"/>
        <v>-1</v>
      </c>
      <c r="G1026">
        <f t="shared" si="40"/>
        <v>-2.2222222222222223E-2</v>
      </c>
      <c r="H1026" t="s">
        <v>9</v>
      </c>
    </row>
    <row r="1027" spans="1:8">
      <c r="A1027">
        <v>2025</v>
      </c>
      <c r="B1027">
        <v>7</v>
      </c>
      <c r="C1027" t="s">
        <v>32</v>
      </c>
      <c r="D1027">
        <f>_xlfn.XLOOKUP(C1027,[9]FP!$C:$C,[9]FP!$S:$S,0)</f>
        <v>71</v>
      </c>
      <c r="E1027">
        <f>_xlfn.XLOOKUP(C1027,[9]FP!$C:$C,[9]FP!$W:$W,0)</f>
        <v>75</v>
      </c>
      <c r="F1027">
        <f t="shared" si="39"/>
        <v>-4</v>
      </c>
      <c r="G1027">
        <f t="shared" si="40"/>
        <v>-5.3333333333333337E-2</v>
      </c>
      <c r="H1027" t="s">
        <v>9</v>
      </c>
    </row>
    <row r="1028" spans="1:8">
      <c r="A1028">
        <v>2025</v>
      </c>
      <c r="B1028">
        <v>7</v>
      </c>
      <c r="C1028" t="s">
        <v>33</v>
      </c>
      <c r="D1028">
        <f>_xlfn.XLOOKUP(C1028,[9]FP!$C:$C,[9]FP!$S:$S,0)</f>
        <v>34</v>
      </c>
      <c r="E1028">
        <f>_xlfn.XLOOKUP(C1028,[9]FP!$C:$C,[9]FP!$W:$W,0)</f>
        <v>37</v>
      </c>
      <c r="F1028">
        <f t="shared" si="39"/>
        <v>-3</v>
      </c>
      <c r="G1028">
        <f t="shared" si="40"/>
        <v>-8.1081081081081086E-2</v>
      </c>
      <c r="H1028" t="s">
        <v>9</v>
      </c>
    </row>
    <row r="1029" spans="1:8">
      <c r="A1029">
        <v>2025</v>
      </c>
      <c r="B1029">
        <v>7</v>
      </c>
      <c r="C1029" t="s">
        <v>35</v>
      </c>
      <c r="D1029">
        <f>_xlfn.XLOOKUP(C1029,[9]FP!$C:$C,[9]FP!$S:$S,0)</f>
        <v>30</v>
      </c>
      <c r="E1029">
        <f>_xlfn.XLOOKUP(C1029,[9]FP!$C:$C,[9]FP!$W:$W,0)</f>
        <v>37</v>
      </c>
      <c r="F1029">
        <f t="shared" si="39"/>
        <v>-7</v>
      </c>
      <c r="G1029">
        <f t="shared" si="40"/>
        <v>-0.1891891891891892</v>
      </c>
      <c r="H1029" t="s">
        <v>9</v>
      </c>
    </row>
    <row r="1030" spans="1:8">
      <c r="A1030">
        <v>2025</v>
      </c>
      <c r="B1030">
        <v>8</v>
      </c>
      <c r="C1030" t="s">
        <v>10</v>
      </c>
      <c r="D1030">
        <f>_xlfn.XLOOKUP(C1030,[9]FP!$C:$C,[9]FP!$S:$S,0)</f>
        <v>48</v>
      </c>
      <c r="E1030">
        <f>_xlfn.XLOOKUP(C1030,[9]FP!$C:$C,[9]FP!$W:$W,0)</f>
        <v>48</v>
      </c>
      <c r="F1030">
        <f t="shared" si="39"/>
        <v>0</v>
      </c>
      <c r="G1030">
        <f t="shared" si="40"/>
        <v>0</v>
      </c>
      <c r="H1030" t="s">
        <v>9</v>
      </c>
    </row>
    <row r="1031" spans="1:8">
      <c r="A1031">
        <v>2025</v>
      </c>
      <c r="B1031">
        <v>8</v>
      </c>
      <c r="C1031" t="s">
        <v>11</v>
      </c>
      <c r="D1031">
        <f>_xlfn.XLOOKUP(C1031,[9]FP!$C:$C,[9]FP!$S:$S,0)</f>
        <v>48</v>
      </c>
      <c r="E1031">
        <f>_xlfn.XLOOKUP(C1031,[9]FP!$C:$C,[9]FP!$W:$W,0)</f>
        <v>46</v>
      </c>
      <c r="F1031">
        <f t="shared" si="39"/>
        <v>2</v>
      </c>
      <c r="G1031">
        <f t="shared" si="40"/>
        <v>4.3478260869565216E-2</v>
      </c>
      <c r="H1031" t="s">
        <v>9</v>
      </c>
    </row>
    <row r="1032" spans="1:8">
      <c r="A1032">
        <v>2025</v>
      </c>
      <c r="B1032">
        <v>8</v>
      </c>
      <c r="C1032" t="s">
        <v>12</v>
      </c>
      <c r="D1032">
        <f>_xlfn.XLOOKUP(C1032,[9]FP!$C:$C,[9]FP!$S:$S,0)</f>
        <v>71</v>
      </c>
      <c r="E1032">
        <f>_xlfn.XLOOKUP(C1032,[9]FP!$C:$C,[9]FP!$W:$W,0)</f>
        <v>79</v>
      </c>
      <c r="F1032">
        <f t="shared" si="39"/>
        <v>-8</v>
      </c>
      <c r="G1032">
        <f t="shared" si="40"/>
        <v>-0.10126582278481013</v>
      </c>
      <c r="H1032" t="s">
        <v>9</v>
      </c>
    </row>
    <row r="1033" spans="1:8">
      <c r="A1033">
        <v>2025</v>
      </c>
      <c r="B1033">
        <v>8</v>
      </c>
      <c r="C1033" t="s">
        <v>13</v>
      </c>
      <c r="D1033">
        <f>_xlfn.XLOOKUP(C1033,[9]FP!$C:$C,[9]FP!$S:$S,0)</f>
        <v>18</v>
      </c>
      <c r="E1033">
        <f>_xlfn.XLOOKUP(C1033,[9]FP!$C:$C,[9]FP!$W:$W,0)</f>
        <v>19</v>
      </c>
      <c r="F1033">
        <f t="shared" si="39"/>
        <v>-1</v>
      </c>
      <c r="G1033">
        <f t="shared" si="40"/>
        <v>-5.2631578947368418E-2</v>
      </c>
      <c r="H1033" t="s">
        <v>9</v>
      </c>
    </row>
    <row r="1034" spans="1:8">
      <c r="A1034">
        <v>2025</v>
      </c>
      <c r="B1034">
        <v>8</v>
      </c>
      <c r="C1034" t="s">
        <v>14</v>
      </c>
      <c r="D1034">
        <f>_xlfn.XLOOKUP(C1034,[9]FP!$C:$C,[9]FP!$S:$S,0)</f>
        <v>245</v>
      </c>
      <c r="E1034">
        <f>_xlfn.XLOOKUP(C1034,[9]FP!$C:$C,[9]FP!$W:$W,0)</f>
        <v>245</v>
      </c>
      <c r="F1034">
        <f t="shared" si="39"/>
        <v>0</v>
      </c>
      <c r="G1034">
        <f t="shared" si="40"/>
        <v>0</v>
      </c>
      <c r="H1034" t="s">
        <v>9</v>
      </c>
    </row>
    <row r="1035" spans="1:8">
      <c r="A1035">
        <v>2025</v>
      </c>
      <c r="B1035">
        <v>8</v>
      </c>
      <c r="C1035" t="s">
        <v>15</v>
      </c>
      <c r="D1035">
        <v>170</v>
      </c>
      <c r="E1035">
        <v>167</v>
      </c>
      <c r="F1035">
        <f t="shared" si="39"/>
        <v>3</v>
      </c>
      <c r="G1035">
        <f t="shared" si="40"/>
        <v>1.7964071856287425E-2</v>
      </c>
      <c r="H1035" t="s">
        <v>9</v>
      </c>
    </row>
    <row r="1036" spans="1:8">
      <c r="A1036">
        <v>2025</v>
      </c>
      <c r="B1036">
        <v>8</v>
      </c>
      <c r="C1036" t="s">
        <v>16</v>
      </c>
      <c r="D1036">
        <f>_xlfn.XLOOKUP(C1036,[9]FP!$C:$C,[9]FP!$S:$S,0)</f>
        <v>39</v>
      </c>
      <c r="E1036">
        <f>_xlfn.XLOOKUP(C1036,[9]FP!$C:$C,[9]FP!$W:$W,0)</f>
        <v>42</v>
      </c>
      <c r="F1036">
        <f t="shared" si="39"/>
        <v>-3</v>
      </c>
      <c r="G1036">
        <f t="shared" si="40"/>
        <v>-7.1428571428571425E-2</v>
      </c>
      <c r="H1036" t="s">
        <v>9</v>
      </c>
    </row>
    <row r="1037" spans="1:8">
      <c r="A1037">
        <v>2025</v>
      </c>
      <c r="B1037">
        <v>8</v>
      </c>
      <c r="C1037" t="s">
        <v>17</v>
      </c>
      <c r="D1037">
        <f>_xlfn.XLOOKUP(C1037,[9]FP!$C:$C,[9]FP!$S:$S,0)</f>
        <v>45</v>
      </c>
      <c r="E1037">
        <f>_xlfn.XLOOKUP(C1037,[9]FP!$C:$C,[9]FP!$W:$W,0)</f>
        <v>42</v>
      </c>
      <c r="F1037">
        <f t="shared" si="39"/>
        <v>3</v>
      </c>
      <c r="G1037">
        <f t="shared" si="40"/>
        <v>7.1428571428571425E-2</v>
      </c>
      <c r="H1037" t="s">
        <v>9</v>
      </c>
    </row>
    <row r="1038" spans="1:8">
      <c r="A1038">
        <v>2025</v>
      </c>
      <c r="B1038">
        <v>8</v>
      </c>
      <c r="C1038" t="s">
        <v>18</v>
      </c>
      <c r="D1038">
        <f>_xlfn.XLOOKUP(C1038,[9]FP!$C:$C,[9]FP!$S:$S,0)</f>
        <v>59</v>
      </c>
      <c r="E1038">
        <f>_xlfn.XLOOKUP(C1038,[9]FP!$C:$C,[9]FP!$W:$W,0)</f>
        <v>59</v>
      </c>
      <c r="F1038">
        <f t="shared" si="39"/>
        <v>0</v>
      </c>
      <c r="G1038">
        <f t="shared" si="40"/>
        <v>0</v>
      </c>
      <c r="H1038" t="s">
        <v>9</v>
      </c>
    </row>
    <row r="1039" spans="1:8">
      <c r="A1039">
        <v>2025</v>
      </c>
      <c r="B1039">
        <v>8</v>
      </c>
      <c r="C1039" t="s">
        <v>19</v>
      </c>
      <c r="D1039">
        <f>_xlfn.XLOOKUP(C1039,[9]FP!$C:$C,[9]FP!$S:$S,0)</f>
        <v>87</v>
      </c>
      <c r="E1039">
        <f>_xlfn.XLOOKUP(C1039,[9]FP!$C:$C,[9]FP!$W:$W,0)</f>
        <v>83</v>
      </c>
      <c r="F1039">
        <f t="shared" si="39"/>
        <v>4</v>
      </c>
      <c r="G1039">
        <f t="shared" si="40"/>
        <v>4.8192771084337352E-2</v>
      </c>
      <c r="H1039" t="s">
        <v>9</v>
      </c>
    </row>
    <row r="1040" spans="1:8">
      <c r="A1040">
        <v>2025</v>
      </c>
      <c r="B1040">
        <v>8</v>
      </c>
      <c r="C1040" t="s">
        <v>20</v>
      </c>
      <c r="D1040">
        <f>_xlfn.XLOOKUP(C1040,[9]FP!$C:$C,[9]FP!$S:$S,0)</f>
        <v>34</v>
      </c>
      <c r="E1040">
        <f>_xlfn.XLOOKUP(C1040,[9]FP!$C:$C,[9]FP!$W:$W,0)</f>
        <v>31</v>
      </c>
      <c r="F1040">
        <f t="shared" si="39"/>
        <v>3</v>
      </c>
      <c r="G1040">
        <f t="shared" si="40"/>
        <v>9.6774193548387094E-2</v>
      </c>
      <c r="H1040" t="s">
        <v>9</v>
      </c>
    </row>
    <row r="1041" spans="1:8">
      <c r="A1041">
        <v>2025</v>
      </c>
      <c r="B1041">
        <v>8</v>
      </c>
      <c r="C1041" t="s">
        <v>21</v>
      </c>
      <c r="D1041">
        <f>_xlfn.XLOOKUP(C1041,[9]FP!$C:$C,[9]FP!$S:$S,0)</f>
        <v>108</v>
      </c>
      <c r="E1041">
        <f>_xlfn.XLOOKUP(C1041,[9]FP!$C:$C,[9]FP!$W:$W,0)</f>
        <v>109</v>
      </c>
      <c r="F1041">
        <f t="shared" si="39"/>
        <v>-1</v>
      </c>
      <c r="G1041">
        <f t="shared" si="40"/>
        <v>-9.1743119266055051E-3</v>
      </c>
      <c r="H1041" t="s">
        <v>9</v>
      </c>
    </row>
    <row r="1042" spans="1:8">
      <c r="A1042">
        <v>2025</v>
      </c>
      <c r="B1042">
        <v>8</v>
      </c>
      <c r="C1042" t="s">
        <v>22</v>
      </c>
      <c r="D1042">
        <f>_xlfn.XLOOKUP(C1042,[9]FP!$C:$C,[9]FP!$S:$S,0)</f>
        <v>21</v>
      </c>
      <c r="E1042">
        <f>_xlfn.XLOOKUP(C1042,[9]FP!$C:$C,[9]FP!$W:$W,0)</f>
        <v>14</v>
      </c>
      <c r="F1042">
        <f t="shared" si="39"/>
        <v>7</v>
      </c>
      <c r="G1042">
        <f t="shared" si="40"/>
        <v>0.5</v>
      </c>
      <c r="H1042" t="s">
        <v>9</v>
      </c>
    </row>
    <row r="1043" spans="1:8">
      <c r="A1043">
        <v>2025</v>
      </c>
      <c r="B1043">
        <v>8</v>
      </c>
      <c r="C1043" t="s">
        <v>23</v>
      </c>
      <c r="D1043">
        <f>_xlfn.XLOOKUP(C1043,[9]FP!$C:$C,[9]FP!$S:$S,0)</f>
        <v>35</v>
      </c>
      <c r="E1043">
        <f>_xlfn.XLOOKUP(C1043,[9]FP!$C:$C,[9]FP!$W:$W,0)</f>
        <v>41</v>
      </c>
      <c r="F1043">
        <f t="shared" si="39"/>
        <v>-6</v>
      </c>
      <c r="G1043">
        <f t="shared" si="40"/>
        <v>-0.14634146341463414</v>
      </c>
      <c r="H1043" t="s">
        <v>9</v>
      </c>
    </row>
    <row r="1044" spans="1:8">
      <c r="A1044">
        <v>2025</v>
      </c>
      <c r="B1044">
        <v>8</v>
      </c>
      <c r="C1044" t="s">
        <v>24</v>
      </c>
      <c r="D1044">
        <f>_xlfn.XLOOKUP(C1044,[9]FP!$C:$C,[9]FP!$S:$S,0)</f>
        <v>67</v>
      </c>
      <c r="E1044">
        <f>_xlfn.XLOOKUP(C1044,[9]FP!$C:$C,[9]FP!$W:$W,0)</f>
        <v>69</v>
      </c>
      <c r="F1044">
        <f t="shared" si="39"/>
        <v>-2</v>
      </c>
      <c r="G1044">
        <f t="shared" si="40"/>
        <v>-2.8985507246376812E-2</v>
      </c>
      <c r="H1044" t="s">
        <v>9</v>
      </c>
    </row>
    <row r="1045" spans="1:8">
      <c r="A1045">
        <v>2025</v>
      </c>
      <c r="B1045">
        <v>8</v>
      </c>
      <c r="C1045" t="s">
        <v>25</v>
      </c>
      <c r="D1045">
        <f>_xlfn.XLOOKUP(C1045,[9]FP!$C:$C,[9]FP!$S:$S,0)</f>
        <v>68</v>
      </c>
      <c r="E1045">
        <f>_xlfn.XLOOKUP(C1045,[9]FP!$C:$C,[9]FP!$W:$W,0)</f>
        <v>60</v>
      </c>
      <c r="F1045">
        <f t="shared" ref="F1045:F1054" si="41">D1045-E1045</f>
        <v>8</v>
      </c>
      <c r="G1045">
        <f t="shared" ref="G1045:G1054" si="42">F1045/E1045</f>
        <v>0.13333333333333333</v>
      </c>
      <c r="H1045" t="s">
        <v>9</v>
      </c>
    </row>
    <row r="1046" spans="1:8">
      <c r="A1046">
        <v>2025</v>
      </c>
      <c r="B1046">
        <v>8</v>
      </c>
      <c r="C1046" t="s">
        <v>26</v>
      </c>
      <c r="D1046">
        <f>_xlfn.XLOOKUP(C1046,[9]FP!$C:$C,[9]FP!$S:$S,0)</f>
        <v>50</v>
      </c>
      <c r="E1046">
        <f>_xlfn.XLOOKUP(C1046,[9]FP!$C:$C,[9]FP!$W:$W,0)</f>
        <v>55</v>
      </c>
      <c r="F1046">
        <f t="shared" si="41"/>
        <v>-5</v>
      </c>
      <c r="G1046">
        <f t="shared" si="42"/>
        <v>-9.0909090909090912E-2</v>
      </c>
      <c r="H1046" t="s">
        <v>9</v>
      </c>
    </row>
    <row r="1047" spans="1:8">
      <c r="A1047">
        <v>2025</v>
      </c>
      <c r="B1047">
        <v>8</v>
      </c>
      <c r="C1047" t="s">
        <v>27</v>
      </c>
      <c r="D1047">
        <f>_xlfn.XLOOKUP(C1047,[9]FP!$C:$C,[9]FP!$S:$S,0)</f>
        <v>108</v>
      </c>
      <c r="E1047">
        <f>_xlfn.XLOOKUP(C1047,[9]FP!$C:$C,[9]FP!$W:$W,0)</f>
        <v>98</v>
      </c>
      <c r="F1047">
        <f t="shared" si="41"/>
        <v>10</v>
      </c>
      <c r="G1047">
        <f t="shared" si="42"/>
        <v>0.10204081632653061</v>
      </c>
      <c r="H1047" t="s">
        <v>9</v>
      </c>
    </row>
    <row r="1048" spans="1:8">
      <c r="A1048">
        <v>2025</v>
      </c>
      <c r="B1048">
        <v>8</v>
      </c>
      <c r="C1048" t="s">
        <v>28</v>
      </c>
      <c r="D1048">
        <f>_xlfn.XLOOKUP(C1048,[9]FP!$C:$C,[9]FP!$S:$S,0)</f>
        <v>35</v>
      </c>
      <c r="E1048">
        <f>_xlfn.XLOOKUP(C1048,[9]FP!$C:$C,[9]FP!$W:$W,0)</f>
        <v>41</v>
      </c>
      <c r="F1048">
        <f t="shared" si="41"/>
        <v>-6</v>
      </c>
      <c r="G1048">
        <f t="shared" si="42"/>
        <v>-0.14634146341463414</v>
      </c>
      <c r="H1048" t="s">
        <v>9</v>
      </c>
    </row>
    <row r="1049" spans="1:8">
      <c r="A1049">
        <v>2025</v>
      </c>
      <c r="B1049">
        <v>8</v>
      </c>
      <c r="C1049" t="s">
        <v>29</v>
      </c>
      <c r="D1049">
        <f>_xlfn.XLOOKUP(C1049,[9]FP!$C:$C,[9]FP!$S:$S,0)</f>
        <v>49</v>
      </c>
      <c r="E1049">
        <f>_xlfn.XLOOKUP(C1049,[9]FP!$C:$C,[9]FP!$W:$W,0)</f>
        <v>49</v>
      </c>
      <c r="F1049">
        <f t="shared" si="41"/>
        <v>0</v>
      </c>
      <c r="G1049">
        <f t="shared" si="42"/>
        <v>0</v>
      </c>
      <c r="H1049" t="s">
        <v>9</v>
      </c>
    </row>
    <row r="1050" spans="1:8">
      <c r="A1050">
        <v>2025</v>
      </c>
      <c r="B1050">
        <v>8</v>
      </c>
      <c r="C1050" t="s">
        <v>30</v>
      </c>
      <c r="D1050">
        <f>_xlfn.XLOOKUP(C1050,[9]FP!$C:$C,[9]FP!$S:$S,0)</f>
        <v>74</v>
      </c>
      <c r="E1050">
        <f>_xlfn.XLOOKUP(C1050,[9]FP!$C:$C,[9]FP!$W:$W,0)</f>
        <v>64</v>
      </c>
      <c r="F1050">
        <f t="shared" si="41"/>
        <v>10</v>
      </c>
      <c r="G1050">
        <f t="shared" si="42"/>
        <v>0.15625</v>
      </c>
      <c r="H1050" t="s">
        <v>9</v>
      </c>
    </row>
    <row r="1051" spans="1:8">
      <c r="A1051">
        <v>2025</v>
      </c>
      <c r="B1051">
        <v>8</v>
      </c>
      <c r="C1051" t="s">
        <v>31</v>
      </c>
      <c r="D1051">
        <f>_xlfn.XLOOKUP(C1051,[9]FP!$C:$C,[9]FP!$S:$S,0)</f>
        <v>44</v>
      </c>
      <c r="E1051">
        <f>_xlfn.XLOOKUP(C1051,[9]FP!$C:$C,[9]FP!$W:$W,0)</f>
        <v>45</v>
      </c>
      <c r="F1051">
        <f t="shared" si="41"/>
        <v>-1</v>
      </c>
      <c r="G1051">
        <f t="shared" si="42"/>
        <v>-2.2222222222222223E-2</v>
      </c>
      <c r="H1051" t="s">
        <v>9</v>
      </c>
    </row>
    <row r="1052" spans="1:8">
      <c r="A1052">
        <v>2025</v>
      </c>
      <c r="B1052">
        <v>8</v>
      </c>
      <c r="C1052" t="s">
        <v>32</v>
      </c>
      <c r="D1052">
        <f>_xlfn.XLOOKUP(C1052,[9]FP!$C:$C,[9]FP!$S:$S,0)</f>
        <v>71</v>
      </c>
      <c r="E1052">
        <f>_xlfn.XLOOKUP(C1052,[9]FP!$C:$C,[9]FP!$W:$W,0)</f>
        <v>75</v>
      </c>
      <c r="F1052">
        <f t="shared" si="41"/>
        <v>-4</v>
      </c>
      <c r="G1052">
        <f t="shared" si="42"/>
        <v>-5.3333333333333337E-2</v>
      </c>
      <c r="H1052" t="s">
        <v>9</v>
      </c>
    </row>
    <row r="1053" spans="1:8">
      <c r="A1053">
        <v>2025</v>
      </c>
      <c r="B1053">
        <v>8</v>
      </c>
      <c r="C1053" t="s">
        <v>33</v>
      </c>
      <c r="D1053">
        <f>_xlfn.XLOOKUP(C1053,[9]FP!$C:$C,[9]FP!$S:$S,0)</f>
        <v>34</v>
      </c>
      <c r="E1053">
        <f>_xlfn.XLOOKUP(C1053,[9]FP!$C:$C,[9]FP!$W:$W,0)</f>
        <v>37</v>
      </c>
      <c r="F1053">
        <f t="shared" si="41"/>
        <v>-3</v>
      </c>
      <c r="G1053">
        <f t="shared" si="42"/>
        <v>-8.1081081081081086E-2</v>
      </c>
      <c r="H1053" t="s">
        <v>9</v>
      </c>
    </row>
    <row r="1054" spans="1:8">
      <c r="A1054">
        <v>2025</v>
      </c>
      <c r="B1054">
        <v>8</v>
      </c>
      <c r="C1054" t="s">
        <v>35</v>
      </c>
      <c r="D1054">
        <f>_xlfn.XLOOKUP(C1054,[9]FP!$C:$C,[9]FP!$S:$S,0)</f>
        <v>30</v>
      </c>
      <c r="E1054">
        <f>_xlfn.XLOOKUP(C1054,[9]FP!$C:$C,[9]FP!$W:$W,0)</f>
        <v>37</v>
      </c>
      <c r="F1054">
        <f t="shared" si="41"/>
        <v>-7</v>
      </c>
      <c r="G1054">
        <f t="shared" si="42"/>
        <v>-0.1891891891891892</v>
      </c>
      <c r="H1054" t="s">
        <v>9</v>
      </c>
    </row>
  </sheetData>
  <autoFilter ref="A1:H1054" xr:uid="{B6DCB96B-DE40-4C67-97F5-64F93159B001}"/>
  <sortState xmlns:xlrd2="http://schemas.microsoft.com/office/spreadsheetml/2017/richdata2" ref="A2:H252">
    <sortCondition ref="A2:A252"/>
    <sortCondition ref="B2:B252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A9833-8815-4B58-90AA-0EB7B8A7B8D5}">
  <dimension ref="A1:C36"/>
  <sheetViews>
    <sheetView topLeftCell="B1" workbookViewId="0">
      <selection activeCell="C3" sqref="C3"/>
    </sheetView>
  </sheetViews>
  <sheetFormatPr defaultRowHeight="15"/>
  <cols>
    <col min="1" max="1" width="19" bestFit="1" customWidth="1"/>
    <col min="2" max="2" width="20" bestFit="1" customWidth="1"/>
    <col min="3" max="3" width="137.85546875" bestFit="1" customWidth="1"/>
  </cols>
  <sheetData>
    <row r="1" spans="1:3">
      <c r="A1" t="s">
        <v>2</v>
      </c>
      <c r="B1" t="s">
        <v>7</v>
      </c>
    </row>
    <row r="2" spans="1:3">
      <c r="A2" t="s">
        <v>37</v>
      </c>
      <c r="B2" t="s">
        <v>9</v>
      </c>
      <c r="C2" t="s">
        <v>38</v>
      </c>
    </row>
    <row r="3" spans="1:3">
      <c r="A3" t="s">
        <v>39</v>
      </c>
      <c r="B3" t="s">
        <v>40</v>
      </c>
      <c r="C3" t="s">
        <v>41</v>
      </c>
    </row>
    <row r="5" spans="1:3">
      <c r="A5" t="s">
        <v>42</v>
      </c>
      <c r="B5">
        <v>1</v>
      </c>
      <c r="C5" t="s">
        <v>43</v>
      </c>
    </row>
    <row r="6" spans="1:3">
      <c r="B6">
        <v>2</v>
      </c>
      <c r="C6" t="s">
        <v>44</v>
      </c>
    </row>
    <row r="7" spans="1:3">
      <c r="B7">
        <v>3</v>
      </c>
      <c r="C7" t="s">
        <v>45</v>
      </c>
    </row>
    <row r="8" spans="1:3">
      <c r="B8">
        <v>4</v>
      </c>
      <c r="C8" t="s">
        <v>46</v>
      </c>
    </row>
    <row r="9" spans="1:3">
      <c r="C9" t="s">
        <v>24</v>
      </c>
    </row>
    <row r="10" spans="1:3">
      <c r="C10" t="s">
        <v>19</v>
      </c>
    </row>
    <row r="11" spans="1:3">
      <c r="C11" t="s">
        <v>16</v>
      </c>
    </row>
    <row r="12" spans="1:3">
      <c r="C12" t="s">
        <v>28</v>
      </c>
    </row>
    <row r="13" spans="1:3">
      <c r="C13" t="s">
        <v>20</v>
      </c>
    </row>
    <row r="14" spans="1:3">
      <c r="C14" t="s">
        <v>11</v>
      </c>
    </row>
    <row r="15" spans="1:3">
      <c r="C15" t="s">
        <v>12</v>
      </c>
    </row>
    <row r="16" spans="1:3">
      <c r="C16" t="s">
        <v>17</v>
      </c>
    </row>
    <row r="17" spans="3:3">
      <c r="C17" t="s">
        <v>29</v>
      </c>
    </row>
    <row r="18" spans="3:3">
      <c r="C18" t="s">
        <v>33</v>
      </c>
    </row>
    <row r="19" spans="3:3">
      <c r="C19" t="s">
        <v>13</v>
      </c>
    </row>
    <row r="20" spans="3:3">
      <c r="C20" t="s">
        <v>10</v>
      </c>
    </row>
    <row r="21" spans="3:3">
      <c r="C21" t="s">
        <v>31</v>
      </c>
    </row>
    <row r="22" spans="3:3">
      <c r="C22" t="s">
        <v>23</v>
      </c>
    </row>
    <row r="23" spans="3:3">
      <c r="C23" t="s">
        <v>18</v>
      </c>
    </row>
    <row r="24" spans="3:3">
      <c r="C24" t="s">
        <v>22</v>
      </c>
    </row>
    <row r="25" spans="3:3">
      <c r="C25" t="s">
        <v>32</v>
      </c>
    </row>
    <row r="26" spans="3:3">
      <c r="C26" t="s">
        <v>27</v>
      </c>
    </row>
    <row r="27" spans="3:3">
      <c r="C27" t="s">
        <v>26</v>
      </c>
    </row>
    <row r="28" spans="3:3">
      <c r="C28" t="s">
        <v>14</v>
      </c>
    </row>
    <row r="29" spans="3:3">
      <c r="C29" t="s">
        <v>21</v>
      </c>
    </row>
    <row r="30" spans="3:3">
      <c r="C30" t="s">
        <v>8</v>
      </c>
    </row>
    <row r="31" spans="3:3">
      <c r="C31" t="s">
        <v>30</v>
      </c>
    </row>
    <row r="32" spans="3:3">
      <c r="C32" t="s">
        <v>25</v>
      </c>
    </row>
    <row r="33" spans="2:3">
      <c r="C33" t="s">
        <v>35</v>
      </c>
    </row>
    <row r="34" spans="2:3">
      <c r="C34" t="s">
        <v>15</v>
      </c>
    </row>
    <row r="35" spans="2:3">
      <c r="C35" t="s">
        <v>47</v>
      </c>
    </row>
    <row r="36" spans="2:3">
      <c r="B36">
        <v>5</v>
      </c>
      <c r="C36" t="s">
        <v>48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d2353e-d8d9-4b86-adde-cb58594c383d">
      <Terms xmlns="http://schemas.microsoft.com/office/infopath/2007/PartnerControls"/>
    </lcf76f155ced4ddcb4097134ff3c332f>
    <TaxCatchAll xmlns="4353c22d-4705-4cd0-9469-5f22be6b623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A559731E391842BD688E9B76019993" ma:contentTypeVersion="19" ma:contentTypeDescription="Create a new document." ma:contentTypeScope="" ma:versionID="4c687fe9dc2947482a9cf9a019da3d8d">
  <xsd:schema xmlns:xsd="http://www.w3.org/2001/XMLSchema" xmlns:xs="http://www.w3.org/2001/XMLSchema" xmlns:p="http://schemas.microsoft.com/office/2006/metadata/properties" xmlns:ns2="3ed2353e-d8d9-4b86-adde-cb58594c383d" xmlns:ns3="4353c22d-4705-4cd0-9469-5f22be6b623f" targetNamespace="http://schemas.microsoft.com/office/2006/metadata/properties" ma:root="true" ma:fieldsID="c7a178c8fcc409e37a60aa3bb62c16fb" ns2:_="" ns3:_="">
    <xsd:import namespace="3ed2353e-d8d9-4b86-adde-cb58594c383d"/>
    <xsd:import namespace="4353c22d-4705-4cd0-9469-5f22be6b62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d2353e-d8d9-4b86-adde-cb58594c3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5847259-352f-46dd-b847-73df62dafc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53c22d-4705-4cd0-9469-5f22be6b623f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d9778a0d-a8a8-4378-8ff3-8c264699996a}" ma:internalName="TaxCatchAll" ma:showField="CatchAllData" ma:web="4353c22d-4705-4cd0-9469-5f22be6b62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2870854-546C-46AC-B02D-5BCE4A9C9441}">
  <ds:schemaRefs>
    <ds:schemaRef ds:uri="http://schemas.microsoft.com/office/2006/metadata/properties"/>
    <ds:schemaRef ds:uri="http://schemas.microsoft.com/office/infopath/2007/PartnerControls"/>
    <ds:schemaRef ds:uri="3ed2353e-d8d9-4b86-adde-cb58594c383d"/>
    <ds:schemaRef ds:uri="4353c22d-4705-4cd0-9469-5f22be6b623f"/>
  </ds:schemaRefs>
</ds:datastoreItem>
</file>

<file path=customXml/itemProps2.xml><?xml version="1.0" encoding="utf-8"?>
<ds:datastoreItem xmlns:ds="http://schemas.openxmlformats.org/officeDocument/2006/customXml" ds:itemID="{E8EB122D-2C2B-47FD-9010-791A4C15794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1F1D6C4-2A11-4F5E-8B6A-0300694B75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d2353e-d8d9-4b86-adde-cb58594c383d"/>
    <ds:schemaRef ds:uri="4353c22d-4705-4cd0-9469-5f22be6b62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comment</vt:lpstr>
    </vt:vector>
  </TitlesOfParts>
  <Manager/>
  <Company>Tapestry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Qingwen Chu (IC)</dc:creator>
  <cp:keywords/>
  <dc:description/>
  <cp:lastModifiedBy>Sharon Ma</cp:lastModifiedBy>
  <cp:revision/>
  <dcterms:created xsi:type="dcterms:W3CDTF">2022-07-21T06:01:16Z</dcterms:created>
  <dcterms:modified xsi:type="dcterms:W3CDTF">2025-08-06T11:58:04Z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0x01010081A559731E391842BD688E9B76019993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</Properties>
</file>